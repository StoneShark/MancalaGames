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tivity_Data\Mancala_github\MancalaGames\analysis\data\"/>
    </mc:Choice>
  </mc:AlternateContent>
  <xr:revisionPtr revIDLastSave="0" documentId="13_ncr:1_{D8505610-E253-4BA8-8462-05BACE73356A}" xr6:coauthVersionLast="47" xr6:coauthVersionMax="47" xr10:uidLastSave="{00000000-0000-0000-0000-000000000000}"/>
  <bookViews>
    <workbookView xWindow="29580" yWindow="780" windowWidth="25410" windowHeight="14265" xr2:uid="{9656757A-5440-4F99-A97B-B1C6A0885C28}"/>
  </bookViews>
  <sheets>
    <sheet name="combine 1" sheetId="1" r:id="rId1"/>
    <sheet name="combine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G3" i="1"/>
  <c r="H3" i="1"/>
  <c r="I3" i="1"/>
  <c r="K3" i="1"/>
  <c r="AD6" i="2"/>
  <c r="L3" i="1" l="1"/>
  <c r="J3" i="1"/>
  <c r="B20" i="2"/>
  <c r="AD22" i="2"/>
  <c r="AD23" i="2"/>
  <c r="AD24" i="2"/>
  <c r="AD25" i="2"/>
  <c r="AD26" i="2"/>
  <c r="AD5" i="2"/>
  <c r="K20" i="2" l="1"/>
  <c r="I20" i="2"/>
  <c r="H20" i="2"/>
  <c r="G20" i="2"/>
  <c r="F20" i="2"/>
  <c r="E20" i="2"/>
  <c r="D20" i="2"/>
  <c r="C20" i="2"/>
  <c r="AD20" i="2" l="1"/>
  <c r="J20" i="2"/>
  <c r="L20" i="2"/>
  <c r="R20" i="2" s="1"/>
  <c r="N20" i="2"/>
  <c r="V20" i="2" s="1"/>
  <c r="W20" i="2" s="1"/>
  <c r="Q20" i="2"/>
  <c r="M20" i="2"/>
  <c r="T20" i="2" s="1"/>
  <c r="O20" i="2" l="1"/>
  <c r="S20" i="2"/>
  <c r="P20" i="2"/>
  <c r="X20" i="2"/>
  <c r="AA20" i="2" s="1"/>
  <c r="U20" i="2"/>
  <c r="Y20" i="2" s="1"/>
  <c r="AB20" i="2" s="1"/>
  <c r="AD9" i="2" l="1"/>
  <c r="AD8" i="2"/>
  <c r="AD7" i="2"/>
  <c r="K3" i="2"/>
  <c r="I3" i="2"/>
  <c r="H3" i="2"/>
  <c r="G3" i="2"/>
  <c r="F3" i="2"/>
  <c r="E3" i="2"/>
  <c r="D3" i="2"/>
  <c r="C3" i="2"/>
  <c r="B3" i="2"/>
  <c r="AD3" i="2" l="1"/>
  <c r="L3" i="2"/>
  <c r="R3" i="2" s="1"/>
  <c r="N3" i="2"/>
  <c r="V3" i="2" s="1"/>
  <c r="W3" i="2" s="1"/>
  <c r="J3" i="2"/>
  <c r="Q3" i="2"/>
  <c r="M3" i="2"/>
  <c r="T3" i="2" s="1"/>
  <c r="O3" i="2" l="1"/>
  <c r="S3" i="2"/>
  <c r="X3" i="2"/>
  <c r="AA3" i="2" s="1"/>
  <c r="P3" i="2"/>
  <c r="U3" i="2"/>
  <c r="Y3" i="2" s="1"/>
  <c r="AB3" i="2" s="1"/>
  <c r="AD8" i="1"/>
  <c r="AD9" i="1"/>
  <c r="AD6" i="1"/>
  <c r="AD7" i="1"/>
  <c r="AD5" i="1"/>
  <c r="AD3" i="1" l="1"/>
  <c r="R3" i="1"/>
  <c r="M3" i="1"/>
  <c r="T3" i="1" s="1"/>
  <c r="N3" i="1"/>
  <c r="Q3" i="1"/>
  <c r="P3" i="1" l="1"/>
  <c r="U3" i="1"/>
  <c r="S3" i="1"/>
  <c r="V3" i="1"/>
  <c r="O3" i="1"/>
  <c r="W3" i="1" l="1"/>
  <c r="X3" i="1" s="1"/>
  <c r="AA3" i="1" s="1"/>
  <c r="Y3" i="1"/>
  <c r="AB3" i="1" s="1"/>
</calcChain>
</file>

<file path=xl/sharedStrings.xml><?xml version="1.0" encoding="utf-8"?>
<sst xmlns="http://schemas.openxmlformats.org/spreadsheetml/2006/main" count="92" uniqueCount="27">
  <si>
    <t>LOOPED</t>
  </si>
  <si>
    <t>MAXED</t>
  </si>
  <si>
    <t>TIE-Sf</t>
  </si>
  <si>
    <t>TIE-St</t>
  </si>
  <si>
    <t>WINf-Sf</t>
  </si>
  <si>
    <t>WINf-St</t>
  </si>
  <si>
    <t>WINt-Sf</t>
  </si>
  <si>
    <t>WINt-St</t>
  </si>
  <si>
    <t>t_wins</t>
  </si>
  <si>
    <t>str_wins</t>
  </si>
  <si>
    <t>wins</t>
  </si>
  <si>
    <t>f_wins</t>
  </si>
  <si>
    <t>starter_wins</t>
  </si>
  <si>
    <t>ns_wins</t>
  </si>
  <si>
    <t>expect1</t>
  </si>
  <si>
    <t>expect2</t>
  </si>
  <si>
    <t>w pval</t>
  </si>
  <si>
    <t>st pval</t>
  </si>
  <si>
    <t>win Fair</t>
  </si>
  <si>
    <t>Starter Fair</t>
  </si>
  <si>
    <t>True Win %</t>
  </si>
  <si>
    <t>Starter Win %</t>
  </si>
  <si>
    <t>Tie % of all</t>
  </si>
  <si>
    <t>use alt-; to select only visible cells</t>
  </si>
  <si>
    <t>no_result</t>
  </si>
  <si>
    <t>endless</t>
  </si>
  <si>
    <t>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</si>
</sst>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4" borderId="0" xfId="0" applyFill="1"/>
    <xf numFmtId="10" fontId="0" fillId="0" borderId="0" xfId="1" applyNumberFormat="1" applyFont="1"/>
    <xf numFmtId="0" fontId="0" fillId="5" borderId="0" xfId="0" applyFill="1"/>
    <xf numFmtId="0" fontId="2" fillId="2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/>
    </xf>
    <xf numFmtId="11" fontId="0" fillId="0" borderId="0" xfId="0" applyNumberFormat="1"/>
  </cellXfs>
  <cellStyles count="2">
    <cellStyle name="Normal" xfId="0" builtinId="0"/>
    <cellStyle name="Percent" xfId="1" builtinId="5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59996337778862885"/>
        </patternFill>
      </fill>
    </dxf>
    <dxf>
      <fill>
        <patternFill>
          <bgColor theme="3" tint="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E1BEF-150A-4FCB-AD11-44BEF785F79D}">
  <sheetPr>
    <tabColor rgb="FFFFFF00"/>
  </sheetPr>
  <dimension ref="A1:AD13"/>
  <sheetViews>
    <sheetView tabSelected="1" zoomScale="80" zoomScaleNormal="80" workbookViewId="0">
      <selection activeCell="A5" sqref="A5:K6"/>
    </sheetView>
  </sheetViews>
  <sheetFormatPr defaultRowHeight="15" x14ac:dyDescent="0.25"/>
  <cols>
    <col min="1" max="1" width="17" customWidth="1"/>
    <col min="14" max="14" width="9.140625" hidden="1" customWidth="1"/>
    <col min="18" max="23" width="9.140625" hidden="1" customWidth="1"/>
    <col min="26" max="26" width="9.140625" hidden="1" customWidth="1"/>
  </cols>
  <sheetData>
    <row r="1" spans="1:30" x14ac:dyDescent="0.25">
      <c r="B1" t="s">
        <v>26</v>
      </c>
      <c r="C1" t="s">
        <v>26</v>
      </c>
      <c r="D1" t="s">
        <v>26</v>
      </c>
      <c r="E1" t="s">
        <v>26</v>
      </c>
      <c r="F1" t="s">
        <v>26</v>
      </c>
      <c r="G1" t="s">
        <v>26</v>
      </c>
      <c r="H1" t="s">
        <v>26</v>
      </c>
      <c r="I1" t="s">
        <v>26</v>
      </c>
      <c r="J1" t="s">
        <v>26</v>
      </c>
      <c r="K1" t="s">
        <v>26</v>
      </c>
      <c r="L1" t="s">
        <v>26</v>
      </c>
      <c r="M1" t="s">
        <v>26</v>
      </c>
      <c r="O1" t="s">
        <v>26</v>
      </c>
      <c r="P1" t="s">
        <v>26</v>
      </c>
      <c r="Q1" t="s">
        <v>26</v>
      </c>
      <c r="X1" t="s">
        <v>26</v>
      </c>
      <c r="Y1" t="s">
        <v>26</v>
      </c>
      <c r="AA1" t="s">
        <v>26</v>
      </c>
      <c r="AB1" t="s">
        <v>26</v>
      </c>
    </row>
    <row r="2" spans="1:30" ht="30" x14ac:dyDescent="0.2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24</v>
      </c>
      <c r="K2" s="4" t="s">
        <v>25</v>
      </c>
      <c r="L2" s="5" t="s">
        <v>8</v>
      </c>
      <c r="M2" s="5" t="s">
        <v>9</v>
      </c>
      <c r="N2" s="5" t="s">
        <v>10</v>
      </c>
      <c r="O2" s="6" t="s">
        <v>20</v>
      </c>
      <c r="P2" s="6" t="s">
        <v>21</v>
      </c>
      <c r="Q2" s="6" t="s">
        <v>22</v>
      </c>
      <c r="R2" s="5" t="s">
        <v>8</v>
      </c>
      <c r="S2" s="5" t="s">
        <v>11</v>
      </c>
      <c r="T2" s="5" t="s">
        <v>12</v>
      </c>
      <c r="U2" s="5" t="s">
        <v>13</v>
      </c>
      <c r="V2" s="5" t="s">
        <v>14</v>
      </c>
      <c r="W2" s="5" t="s">
        <v>15</v>
      </c>
      <c r="X2" s="5" t="s">
        <v>16</v>
      </c>
      <c r="Y2" s="5" t="s">
        <v>17</v>
      </c>
      <c r="Z2" s="5">
        <v>0.05</v>
      </c>
      <c r="AA2" s="5" t="s">
        <v>18</v>
      </c>
      <c r="AB2" s="6" t="s">
        <v>19</v>
      </c>
    </row>
    <row r="3" spans="1:30" x14ac:dyDescent="0.25">
      <c r="B3">
        <f>SUM(B5:B9)</f>
        <v>0</v>
      </c>
      <c r="C3">
        <f t="shared" ref="C3:H3" si="0">SUM(C5:C9)</f>
        <v>0</v>
      </c>
      <c r="D3">
        <f t="shared" si="0"/>
        <v>0</v>
      </c>
      <c r="E3">
        <f t="shared" si="0"/>
        <v>0</v>
      </c>
      <c r="F3">
        <f t="shared" si="0"/>
        <v>0</v>
      </c>
      <c r="G3">
        <f t="shared" si="0"/>
        <v>0</v>
      </c>
      <c r="H3">
        <f t="shared" si="0"/>
        <v>0</v>
      </c>
      <c r="I3">
        <f>SUM(I5:I9)</f>
        <v>0</v>
      </c>
      <c r="J3">
        <f>SUM(B3:C3)</f>
        <v>0</v>
      </c>
      <c r="K3">
        <f t="shared" ref="K3" si="1">SUM(K5:K9)</f>
        <v>0</v>
      </c>
      <c r="L3">
        <f>SUM(H3:I3)</f>
        <v>0</v>
      </c>
      <c r="M3">
        <f>SUM(F3,I3)</f>
        <v>0</v>
      </c>
      <c r="N3">
        <f>SUM(F3:I3)</f>
        <v>0</v>
      </c>
      <c r="O3" s="2" t="e">
        <f>R3/N3</f>
        <v>#DIV/0!</v>
      </c>
      <c r="P3" s="2" t="e">
        <f>T3/N3</f>
        <v>#DIV/0!</v>
      </c>
      <c r="Q3" s="2" t="e">
        <f>SUM(D3:E3)/SUM(B3:I3)</f>
        <v>#DIV/0!</v>
      </c>
      <c r="R3">
        <f t="shared" ref="R3" si="2">L3</f>
        <v>0</v>
      </c>
      <c r="S3">
        <f>N3-R3</f>
        <v>0</v>
      </c>
      <c r="T3">
        <f t="shared" ref="T3" si="3">M3</f>
        <v>0</v>
      </c>
      <c r="U3">
        <f>N3-T3</f>
        <v>0</v>
      </c>
      <c r="V3">
        <f>N3/2</f>
        <v>0</v>
      </c>
      <c r="W3">
        <f>V3</f>
        <v>0</v>
      </c>
      <c r="X3" t="e">
        <f>_xlfn.CHISQ.TEST(R3:S3,V3:W3)</f>
        <v>#DIV/0!</v>
      </c>
      <c r="Y3" t="e">
        <f>_xlfn.CHISQ.TEST(T3:U3,V3:W3)</f>
        <v>#DIV/0!</v>
      </c>
      <c r="AA3" t="e">
        <f>X3 &gt;$Z$2</f>
        <v>#DIV/0!</v>
      </c>
      <c r="AB3" t="e">
        <f>Y3 &gt;$Z$2</f>
        <v>#DIV/0!</v>
      </c>
      <c r="AD3">
        <f>SUM(B3:I3)</f>
        <v>0</v>
      </c>
    </row>
    <row r="5" spans="1:30" x14ac:dyDescent="0.25">
      <c r="A5" s="1"/>
      <c r="AD5">
        <f>SUM(B5:I5)</f>
        <v>0</v>
      </c>
    </row>
    <row r="6" spans="1:30" x14ac:dyDescent="0.25">
      <c r="A6" s="1"/>
      <c r="AD6">
        <f t="shared" ref="AD6:AD9" si="4">SUM(B6:I6)</f>
        <v>0</v>
      </c>
    </row>
    <row r="7" spans="1:30" x14ac:dyDescent="0.25">
      <c r="A7" s="1"/>
      <c r="AD7">
        <f t="shared" si="4"/>
        <v>0</v>
      </c>
    </row>
    <row r="8" spans="1:30" x14ac:dyDescent="0.25">
      <c r="A8" s="1"/>
      <c r="AD8">
        <f>SUM(B8:I8)</f>
        <v>0</v>
      </c>
    </row>
    <row r="9" spans="1:30" x14ac:dyDescent="0.25">
      <c r="A9" s="1"/>
      <c r="AD9">
        <f t="shared" si="4"/>
        <v>0</v>
      </c>
    </row>
    <row r="13" spans="1:30" x14ac:dyDescent="0.25">
      <c r="B13" t="s">
        <v>23</v>
      </c>
    </row>
  </sheetData>
  <conditionalFormatting sqref="B3:C3">
    <cfRule type="cellIs" dxfId="43" priority="138" operator="greaterThan">
      <formula>1000</formula>
    </cfRule>
  </conditionalFormatting>
  <conditionalFormatting sqref="B5:C6">
    <cfRule type="cellIs" dxfId="42" priority="1" operator="greaterThan">
      <formula>1000</formula>
    </cfRule>
    <cfRule type="cellIs" dxfId="41" priority="2" operator="greaterThan">
      <formula>5000</formula>
    </cfRule>
  </conditionalFormatting>
  <conditionalFormatting sqref="O3:P3">
    <cfRule type="cellIs" dxfId="40" priority="131" stopIfTrue="1" operator="lessThan">
      <formula>0.4</formula>
    </cfRule>
    <cfRule type="cellIs" dxfId="39" priority="132" stopIfTrue="1" operator="greaterThan">
      <formula>0.6</formula>
    </cfRule>
    <cfRule type="cellIs" dxfId="38" priority="133" stopIfTrue="1" operator="lessThan">
      <formula>0.48</formula>
    </cfRule>
    <cfRule type="cellIs" dxfId="37" priority="134" operator="greaterThan">
      <formula>0.52</formula>
    </cfRule>
  </conditionalFormatting>
  <conditionalFormatting sqref="Q3">
    <cfRule type="cellIs" dxfId="36" priority="128" operator="greaterThan">
      <formula>0.4</formula>
    </cfRule>
    <cfRule type="cellIs" dxfId="35" priority="129" stopIfTrue="1" operator="greaterThan">
      <formula>0.1</formula>
    </cfRule>
    <cfRule type="cellIs" dxfId="34" priority="130" operator="greaterThan">
      <formula>0.05</formula>
    </cfRule>
  </conditionalFormatting>
  <conditionalFormatting sqref="AA3:AB3">
    <cfRule type="cellIs" dxfId="33" priority="139" operator="equal">
      <formula>FALSE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F137C-32D7-41E6-9F6F-FBFF652E5CBC}">
  <sheetPr>
    <tabColor rgb="FF00B0F0"/>
  </sheetPr>
  <dimension ref="A1:AD26"/>
  <sheetViews>
    <sheetView zoomScale="80" zoomScaleNormal="80" workbookViewId="0">
      <selection activeCell="G10" sqref="G10"/>
    </sheetView>
  </sheetViews>
  <sheetFormatPr defaultRowHeight="15" x14ac:dyDescent="0.25"/>
  <cols>
    <col min="1" max="1" width="17" customWidth="1"/>
    <col min="14" max="14" width="9.140625" hidden="1" customWidth="1"/>
    <col min="18" max="23" width="9.140625" hidden="1" customWidth="1"/>
    <col min="26" max="26" width="9.140625" hidden="1" customWidth="1"/>
  </cols>
  <sheetData>
    <row r="1" spans="1:30" x14ac:dyDescent="0.25">
      <c r="B1" t="s">
        <v>26</v>
      </c>
      <c r="C1" t="s">
        <v>26</v>
      </c>
      <c r="D1" t="s">
        <v>26</v>
      </c>
      <c r="E1" t="s">
        <v>26</v>
      </c>
      <c r="F1" t="s">
        <v>26</v>
      </c>
      <c r="G1" t="s">
        <v>26</v>
      </c>
      <c r="H1" t="s">
        <v>26</v>
      </c>
      <c r="I1" t="s">
        <v>26</v>
      </c>
      <c r="J1" t="s">
        <v>26</v>
      </c>
      <c r="K1" t="s">
        <v>26</v>
      </c>
      <c r="L1" t="s">
        <v>26</v>
      </c>
      <c r="M1" t="s">
        <v>26</v>
      </c>
      <c r="O1" t="s">
        <v>26</v>
      </c>
      <c r="P1" t="s">
        <v>26</v>
      </c>
      <c r="Q1" t="s">
        <v>26</v>
      </c>
      <c r="X1" t="s">
        <v>26</v>
      </c>
      <c r="Y1" t="s">
        <v>26</v>
      </c>
      <c r="AA1" t="s">
        <v>26</v>
      </c>
      <c r="AB1" t="s">
        <v>26</v>
      </c>
    </row>
    <row r="2" spans="1:30" ht="30" x14ac:dyDescent="0.2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24</v>
      </c>
      <c r="K2" s="4" t="s">
        <v>25</v>
      </c>
      <c r="L2" s="5" t="s">
        <v>8</v>
      </c>
      <c r="M2" s="5" t="s">
        <v>9</v>
      </c>
      <c r="N2" s="5" t="s">
        <v>10</v>
      </c>
      <c r="O2" s="6" t="s">
        <v>20</v>
      </c>
      <c r="P2" s="6" t="s">
        <v>21</v>
      </c>
      <c r="Q2" s="6" t="s">
        <v>22</v>
      </c>
      <c r="R2" s="5" t="s">
        <v>8</v>
      </c>
      <c r="S2" s="5" t="s">
        <v>11</v>
      </c>
      <c r="T2" s="5" t="s">
        <v>12</v>
      </c>
      <c r="U2" s="5" t="s">
        <v>13</v>
      </c>
      <c r="V2" s="5" t="s">
        <v>14</v>
      </c>
      <c r="W2" s="5" t="s">
        <v>15</v>
      </c>
      <c r="X2" s="5" t="s">
        <v>16</v>
      </c>
      <c r="Y2" s="5" t="s">
        <v>17</v>
      </c>
      <c r="Z2" s="5">
        <v>0.05</v>
      </c>
      <c r="AA2" s="5" t="s">
        <v>18</v>
      </c>
      <c r="AB2" s="6" t="s">
        <v>19</v>
      </c>
    </row>
    <row r="3" spans="1:30" x14ac:dyDescent="0.25">
      <c r="B3">
        <f>SUM(B5:B9)</f>
        <v>0</v>
      </c>
      <c r="C3">
        <f t="shared" ref="C3:E3" si="0">SUM(C5:C9)</f>
        <v>0</v>
      </c>
      <c r="D3">
        <f t="shared" si="0"/>
        <v>0</v>
      </c>
      <c r="E3">
        <f t="shared" si="0"/>
        <v>0</v>
      </c>
      <c r="F3">
        <f>SUM(F5:F9)</f>
        <v>0</v>
      </c>
      <c r="G3">
        <f>SUM(G5:G9)</f>
        <v>0</v>
      </c>
      <c r="H3">
        <f>SUM(H5:H9)</f>
        <v>0</v>
      </c>
      <c r="I3">
        <f>SUM(I5:I9)</f>
        <v>0</v>
      </c>
      <c r="J3">
        <f>SUM(B3:C3)</f>
        <v>0</v>
      </c>
      <c r="K3">
        <f t="shared" ref="K3" si="1">SUM(K5:K9)</f>
        <v>0</v>
      </c>
      <c r="L3">
        <f>SUM(H3:I3)</f>
        <v>0</v>
      </c>
      <c r="M3">
        <f>SUM(F3,I3)</f>
        <v>0</v>
      </c>
      <c r="N3">
        <f>SUM(F3:I3)</f>
        <v>0</v>
      </c>
      <c r="O3" s="2" t="e">
        <f>R3/N3</f>
        <v>#DIV/0!</v>
      </c>
      <c r="P3" s="2" t="e">
        <f>T3/N3</f>
        <v>#DIV/0!</v>
      </c>
      <c r="Q3" s="2" t="e">
        <f>SUM(D3:E3)/SUM(B3:I3)</f>
        <v>#DIV/0!</v>
      </c>
      <c r="R3">
        <f t="shared" ref="R3" si="2">L3</f>
        <v>0</v>
      </c>
      <c r="S3">
        <f>N3-R3</f>
        <v>0</v>
      </c>
      <c r="T3">
        <f t="shared" ref="T3" si="3">M3</f>
        <v>0</v>
      </c>
      <c r="U3">
        <f>N3-T3</f>
        <v>0</v>
      </c>
      <c r="V3">
        <f>N3/2</f>
        <v>0</v>
      </c>
      <c r="W3">
        <f>V3</f>
        <v>0</v>
      </c>
      <c r="X3" t="e">
        <f>_xlfn.CHISQ.TEST(R3:S3,V3:W3)</f>
        <v>#DIV/0!</v>
      </c>
      <c r="Y3" t="e">
        <f>_xlfn.CHISQ.TEST(T3:U3,V3:W3)</f>
        <v>#DIV/0!</v>
      </c>
      <c r="AA3" t="e">
        <f>X3 &gt;$Z$2</f>
        <v>#DIV/0!</v>
      </c>
      <c r="AB3" t="e">
        <f>Y3 &gt;$Z$2</f>
        <v>#DIV/0!</v>
      </c>
      <c r="AD3">
        <f>SUM(B3:I3)</f>
        <v>0</v>
      </c>
    </row>
    <row r="5" spans="1:30" x14ac:dyDescent="0.25">
      <c r="A5" s="3"/>
      <c r="B5" s="7"/>
      <c r="C5" s="7"/>
      <c r="D5" s="7"/>
      <c r="E5" s="7"/>
      <c r="F5" s="7"/>
      <c r="G5" s="7"/>
      <c r="H5" s="7"/>
      <c r="I5" s="7"/>
      <c r="J5" s="7"/>
      <c r="K5" s="7"/>
      <c r="R5">
        <v>8.7139387052759004E-2</v>
      </c>
      <c r="S5" t="b">
        <v>1</v>
      </c>
      <c r="T5" t="b">
        <v>1</v>
      </c>
      <c r="AD5">
        <f>SUM(B5:I5)</f>
        <v>0</v>
      </c>
    </row>
    <row r="6" spans="1:30" x14ac:dyDescent="0.25">
      <c r="A6" s="3"/>
      <c r="B6" s="7"/>
      <c r="C6" s="7"/>
      <c r="D6" s="7"/>
      <c r="E6" s="7"/>
      <c r="F6" s="7"/>
      <c r="G6" s="7"/>
      <c r="H6" s="7"/>
      <c r="I6" s="7"/>
      <c r="J6" s="7"/>
      <c r="K6" s="7"/>
      <c r="AD6">
        <f>SUM(B6:I6)</f>
        <v>0</v>
      </c>
    </row>
    <row r="7" spans="1:30" x14ac:dyDescent="0.25">
      <c r="A7" s="3"/>
      <c r="AD7">
        <f t="shared" ref="AD7:AD9" si="4">SUM(B7:I7)</f>
        <v>0</v>
      </c>
    </row>
    <row r="8" spans="1:30" x14ac:dyDescent="0.25">
      <c r="A8" s="3"/>
      <c r="AD8">
        <f>SUM(B8:I8)</f>
        <v>0</v>
      </c>
    </row>
    <row r="9" spans="1:30" x14ac:dyDescent="0.25">
      <c r="A9" s="3"/>
      <c r="AD9">
        <f t="shared" si="4"/>
        <v>0</v>
      </c>
    </row>
    <row r="13" spans="1:30" x14ac:dyDescent="0.25">
      <c r="B13" t="s">
        <v>23</v>
      </c>
    </row>
    <row r="20" spans="1:30" x14ac:dyDescent="0.25">
      <c r="B20">
        <f>SUM(B22:B26)</f>
        <v>0</v>
      </c>
      <c r="C20">
        <f t="shared" ref="C20:H20" si="5">SUM(C22:C26)</f>
        <v>0</v>
      </c>
      <c r="D20">
        <f t="shared" si="5"/>
        <v>0</v>
      </c>
      <c r="E20">
        <f t="shared" si="5"/>
        <v>0</v>
      </c>
      <c r="F20">
        <f t="shared" si="5"/>
        <v>0</v>
      </c>
      <c r="G20">
        <f t="shared" si="5"/>
        <v>0</v>
      </c>
      <c r="H20">
        <f t="shared" si="5"/>
        <v>0</v>
      </c>
      <c r="I20">
        <f>SUM(I22:I26)</f>
        <v>0</v>
      </c>
      <c r="J20">
        <f>SUM(B20:C20)</f>
        <v>0</v>
      </c>
      <c r="K20">
        <f t="shared" ref="K20" si="6">SUM(K22:K26)</f>
        <v>0</v>
      </c>
      <c r="L20">
        <f>SUM(H20:I20)</f>
        <v>0</v>
      </c>
      <c r="M20">
        <f>SUM(F20,I20)</f>
        <v>0</v>
      </c>
      <c r="N20">
        <f>SUM(F20:I20)</f>
        <v>0</v>
      </c>
      <c r="O20" s="2" t="e">
        <f>R20/N20</f>
        <v>#DIV/0!</v>
      </c>
      <c r="P20" s="2" t="e">
        <f>T20/N20</f>
        <v>#DIV/0!</v>
      </c>
      <c r="Q20" s="2" t="e">
        <f>SUM(D20:E20)/SUM(B20:I20)</f>
        <v>#DIV/0!</v>
      </c>
      <c r="R20">
        <f t="shared" ref="R20" si="7">L20</f>
        <v>0</v>
      </c>
      <c r="S20">
        <f>N20-R20</f>
        <v>0</v>
      </c>
      <c r="T20">
        <f t="shared" ref="T20" si="8">M20</f>
        <v>0</v>
      </c>
      <c r="U20">
        <f>N20-T20</f>
        <v>0</v>
      </c>
      <c r="V20">
        <f>N20/2</f>
        <v>0</v>
      </c>
      <c r="W20">
        <f>V20</f>
        <v>0</v>
      </c>
      <c r="X20" t="e">
        <f>_xlfn.CHISQ.TEST(R20:S20,V20:W20)</f>
        <v>#DIV/0!</v>
      </c>
      <c r="Y20" t="e">
        <f>_xlfn.CHISQ.TEST(T20:U20,V20:W20)</f>
        <v>#DIV/0!</v>
      </c>
      <c r="AA20" t="e">
        <f>X20 &gt;$Z$2</f>
        <v>#DIV/0!</v>
      </c>
      <c r="AB20" t="e">
        <f>Y20 &gt;$Z$2</f>
        <v>#DIV/0!</v>
      </c>
      <c r="AD20">
        <f>SUM(B20:I20)</f>
        <v>0</v>
      </c>
    </row>
    <row r="22" spans="1:30" x14ac:dyDescent="0.25">
      <c r="A22" s="3"/>
      <c r="P22" s="8"/>
      <c r="R22">
        <v>4.8825898827741E-2</v>
      </c>
      <c r="S22" t="b">
        <v>1</v>
      </c>
      <c r="T22" t="b">
        <v>0</v>
      </c>
      <c r="AD22">
        <f>SUM(B22:I22)</f>
        <v>0</v>
      </c>
    </row>
    <row r="23" spans="1:30" x14ac:dyDescent="0.25">
      <c r="A23" s="3"/>
      <c r="AD23">
        <f t="shared" ref="AD23:AD26" si="9">SUM(B23:I23)</f>
        <v>0</v>
      </c>
    </row>
    <row r="24" spans="1:30" x14ac:dyDescent="0.25">
      <c r="A24" s="3"/>
      <c r="B24" s="7"/>
      <c r="C24" s="7"/>
      <c r="D24" s="7"/>
      <c r="E24" s="7"/>
      <c r="F24" s="7"/>
      <c r="G24" s="7"/>
      <c r="H24" s="7"/>
      <c r="I24" s="7"/>
      <c r="J24" s="7"/>
      <c r="K24" s="7"/>
      <c r="AD24">
        <f t="shared" si="9"/>
        <v>0</v>
      </c>
    </row>
    <row r="25" spans="1:30" x14ac:dyDescent="0.25">
      <c r="A25" s="3"/>
      <c r="AD25">
        <f>SUM(B25:I25)</f>
        <v>0</v>
      </c>
    </row>
    <row r="26" spans="1:30" x14ac:dyDescent="0.25">
      <c r="A26" s="3"/>
      <c r="AD26">
        <f t="shared" si="9"/>
        <v>0</v>
      </c>
    </row>
  </sheetData>
  <conditionalFormatting sqref="B3:C3">
    <cfRule type="cellIs" dxfId="32" priority="40" operator="greaterThan">
      <formula>1000</formula>
    </cfRule>
  </conditionalFormatting>
  <conditionalFormatting sqref="B5:C7">
    <cfRule type="cellIs" dxfId="31" priority="1" operator="greaterThan">
      <formula>1000</formula>
    </cfRule>
  </conditionalFormatting>
  <conditionalFormatting sqref="B20:C20">
    <cfRule type="cellIs" dxfId="30" priority="31" operator="greaterThan">
      <formula>1000</formula>
    </cfRule>
  </conditionalFormatting>
  <conditionalFormatting sqref="B22:C22">
    <cfRule type="cellIs" dxfId="29" priority="4" operator="greaterThan">
      <formula>1000</formula>
    </cfRule>
  </conditionalFormatting>
  <conditionalFormatting sqref="B24:C24">
    <cfRule type="cellIs" dxfId="28" priority="2" operator="greaterThan">
      <formula>1000</formula>
    </cfRule>
  </conditionalFormatting>
  <conditionalFormatting sqref="N5">
    <cfRule type="cellIs" dxfId="27" priority="15" stopIfTrue="1" operator="lessThan">
      <formula>0.4</formula>
    </cfRule>
    <cfRule type="cellIs" dxfId="26" priority="16" stopIfTrue="1" operator="greaterThan">
      <formula>0.6</formula>
    </cfRule>
    <cfRule type="cellIs" dxfId="25" priority="17" stopIfTrue="1" operator="lessThan">
      <formula>0.48</formula>
    </cfRule>
    <cfRule type="cellIs" dxfId="24" priority="18" operator="greaterThan">
      <formula>0.52</formula>
    </cfRule>
  </conditionalFormatting>
  <conditionalFormatting sqref="O3:P3">
    <cfRule type="cellIs" dxfId="23" priority="36" stopIfTrue="1" operator="lessThan">
      <formula>0.4</formula>
    </cfRule>
    <cfRule type="cellIs" dxfId="22" priority="37" stopIfTrue="1" operator="greaterThan">
      <formula>0.6</formula>
    </cfRule>
    <cfRule type="cellIs" dxfId="21" priority="38" stopIfTrue="1" operator="lessThan">
      <formula>0.48</formula>
    </cfRule>
    <cfRule type="cellIs" dxfId="20" priority="39" operator="greaterThan">
      <formula>0.52</formula>
    </cfRule>
  </conditionalFormatting>
  <conditionalFormatting sqref="O20:P20">
    <cfRule type="cellIs" dxfId="19" priority="30" operator="greaterThan">
      <formula>0.52</formula>
    </cfRule>
    <cfRule type="cellIs" dxfId="18" priority="29" stopIfTrue="1" operator="lessThan">
      <formula>0.48</formula>
    </cfRule>
    <cfRule type="cellIs" dxfId="17" priority="28" stopIfTrue="1" operator="greaterThan">
      <formula>0.6</formula>
    </cfRule>
    <cfRule type="cellIs" dxfId="16" priority="27" stopIfTrue="1" operator="lessThan">
      <formula>0.4</formula>
    </cfRule>
  </conditionalFormatting>
  <conditionalFormatting sqref="P5">
    <cfRule type="cellIs" dxfId="15" priority="12" operator="greaterThan">
      <formula>0.4</formula>
    </cfRule>
    <cfRule type="cellIs" dxfId="14" priority="13" stopIfTrue="1" operator="greaterThan">
      <formula>0.1</formula>
    </cfRule>
    <cfRule type="cellIs" dxfId="13" priority="14" operator="greaterThan">
      <formula>0.05</formula>
    </cfRule>
  </conditionalFormatting>
  <conditionalFormatting sqref="Q3">
    <cfRule type="cellIs" dxfId="12" priority="34" stopIfTrue="1" operator="greaterThan">
      <formula>0.1</formula>
    </cfRule>
    <cfRule type="cellIs" dxfId="11" priority="33" operator="greaterThan">
      <formula>0.4</formula>
    </cfRule>
    <cfRule type="cellIs" dxfId="10" priority="35" operator="greaterThan">
      <formula>0.05</formula>
    </cfRule>
  </conditionalFormatting>
  <conditionalFormatting sqref="Q20">
    <cfRule type="cellIs" dxfId="9" priority="26" operator="greaterThan">
      <formula>0.05</formula>
    </cfRule>
    <cfRule type="cellIs" dxfId="8" priority="24" operator="greaterThan">
      <formula>0.4</formula>
    </cfRule>
    <cfRule type="cellIs" dxfId="7" priority="25" stopIfTrue="1" operator="greaterThan">
      <formula>0.1</formula>
    </cfRule>
  </conditionalFormatting>
  <conditionalFormatting sqref="S5:T5">
    <cfRule type="cellIs" dxfId="6" priority="11" operator="equal">
      <formula>FALSE</formula>
    </cfRule>
  </conditionalFormatting>
  <conditionalFormatting sqref="X3:Y3">
    <cfRule type="cellIs" dxfId="5" priority="22" operator="between">
      <formula>0.001</formula>
      <formula>0.05</formula>
    </cfRule>
    <cfRule type="cellIs" dxfId="4" priority="21" operator="between">
      <formula>0.05</formula>
      <formula>0.15</formula>
    </cfRule>
  </conditionalFormatting>
  <conditionalFormatting sqref="X20:Y20">
    <cfRule type="cellIs" dxfId="3" priority="20" operator="between">
      <formula>0.001</formula>
      <formula>0.05</formula>
    </cfRule>
    <cfRule type="cellIs" dxfId="2" priority="19" operator="between">
      <formula>0.05</formula>
      <formula>0.15</formula>
    </cfRule>
  </conditionalFormatting>
  <conditionalFormatting sqref="AA3:AB3">
    <cfRule type="cellIs" dxfId="1" priority="23" operator="equal">
      <formula>FALSE</formula>
    </cfRule>
  </conditionalFormatting>
  <conditionalFormatting sqref="AA20:AB20">
    <cfRule type="cellIs" dxfId="0" priority="32" operator="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 1</vt:lpstr>
      <vt:lpstr>combine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Davies</dc:creator>
  <cp:lastModifiedBy>Ann Davies</cp:lastModifiedBy>
  <dcterms:created xsi:type="dcterms:W3CDTF">2025-12-23T12:31:00Z</dcterms:created>
  <dcterms:modified xsi:type="dcterms:W3CDTF">2026-01-08T14:32:04Z</dcterms:modified>
</cp:coreProperties>
</file>
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ctivity_Data\Mancala_github\MancalaGames\analysis\data\"/>
    </mc:Choice>
  </mc:AlternateContent>
  <xr:revisionPtr revIDLastSave="0" documentId="13_ncr:1_{29F7AB1A-32C5-4FD4-BE8B-7496084117B4}" xr6:coauthVersionLast="47" xr6:coauthVersionMax="47" xr10:uidLastSave="{00000000-0000-0000-0000-000000000000}"/>
  <bookViews>
    <workbookView xWindow="2115" yWindow="945" windowWidth="25410" windowHeight="14265" activeTab="1" xr2:uid="{4AA45649-2FB6-48D7-B86B-F414D714A88A}"/>
  </bookViews>
  <sheets>
    <sheet name="FirstRuns" sheetId="2" r:id="rId1"/>
    <sheet name="SecondRuns" sheetId="1" r:id="rId2"/>
    <sheet name="Combi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" l="1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N11" i="3" s="1"/>
  <c r="U11" i="3" s="1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K7" i="3"/>
  <c r="K5" i="3"/>
  <c r="A67" i="3"/>
  <c r="B67" i="3"/>
  <c r="C67" i="3"/>
  <c r="D67" i="3"/>
  <c r="E67" i="3"/>
  <c r="F67" i="3"/>
  <c r="G67" i="3"/>
  <c r="H67" i="3"/>
  <c r="I67" i="3"/>
  <c r="J67" i="3"/>
  <c r="K67" i="3"/>
  <c r="L67" i="3"/>
  <c r="A68" i="3"/>
  <c r="B68" i="3"/>
  <c r="C68" i="3"/>
  <c r="D68" i="3"/>
  <c r="E68" i="3"/>
  <c r="F68" i="3"/>
  <c r="G68" i="3"/>
  <c r="H68" i="3"/>
  <c r="I68" i="3"/>
  <c r="J68" i="3"/>
  <c r="K68" i="3"/>
  <c r="L68" i="3"/>
  <c r="A69" i="3"/>
  <c r="B69" i="3"/>
  <c r="C69" i="3"/>
  <c r="D69" i="3"/>
  <c r="E69" i="3"/>
  <c r="F69" i="3"/>
  <c r="G69" i="3"/>
  <c r="H69" i="3"/>
  <c r="I69" i="3"/>
  <c r="J69" i="3"/>
  <c r="K69" i="3"/>
  <c r="L69" i="3"/>
  <c r="A70" i="3"/>
  <c r="B70" i="3"/>
  <c r="C70" i="3"/>
  <c r="D70" i="3"/>
  <c r="E70" i="3"/>
  <c r="F70" i="3"/>
  <c r="G70" i="3"/>
  <c r="H70" i="3"/>
  <c r="I70" i="3"/>
  <c r="J70" i="3"/>
  <c r="K70" i="3"/>
  <c r="L70" i="3"/>
  <c r="A71" i="3"/>
  <c r="B71" i="3"/>
  <c r="C71" i="3"/>
  <c r="D71" i="3"/>
  <c r="E71" i="3"/>
  <c r="F71" i="3"/>
  <c r="G71" i="3"/>
  <c r="H71" i="3"/>
  <c r="I71" i="3"/>
  <c r="J71" i="3"/>
  <c r="K71" i="3"/>
  <c r="L71" i="3"/>
  <c r="A72" i="3"/>
  <c r="B72" i="3"/>
  <c r="C72" i="3"/>
  <c r="D72" i="3"/>
  <c r="E72" i="3"/>
  <c r="F72" i="3"/>
  <c r="G72" i="3"/>
  <c r="H72" i="3"/>
  <c r="I72" i="3"/>
  <c r="J72" i="3"/>
  <c r="K72" i="3"/>
  <c r="L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S73" i="3" s="1"/>
  <c r="A74" i="3"/>
  <c r="B74" i="3"/>
  <c r="C74" i="3"/>
  <c r="D74" i="3"/>
  <c r="E74" i="3"/>
  <c r="F74" i="3"/>
  <c r="G74" i="3"/>
  <c r="H74" i="3"/>
  <c r="I74" i="3"/>
  <c r="J74" i="3"/>
  <c r="K74" i="3"/>
  <c r="L74" i="3"/>
  <c r="A75" i="3"/>
  <c r="B75" i="3"/>
  <c r="C75" i="3"/>
  <c r="D75" i="3"/>
  <c r="E75" i="3"/>
  <c r="F75" i="3"/>
  <c r="G75" i="3"/>
  <c r="H75" i="3"/>
  <c r="I75" i="3"/>
  <c r="J75" i="3"/>
  <c r="K75" i="3"/>
  <c r="L75" i="3"/>
  <c r="A76" i="3"/>
  <c r="B76" i="3"/>
  <c r="C76" i="3"/>
  <c r="D76" i="3"/>
  <c r="E76" i="3"/>
  <c r="F76" i="3"/>
  <c r="G76" i="3"/>
  <c r="H76" i="3"/>
  <c r="I76" i="3"/>
  <c r="J76" i="3"/>
  <c r="K76" i="3"/>
  <c r="L76" i="3"/>
  <c r="A77" i="3"/>
  <c r="B77" i="3"/>
  <c r="C77" i="3"/>
  <c r="D77" i="3"/>
  <c r="E77" i="3"/>
  <c r="F77" i="3"/>
  <c r="G77" i="3"/>
  <c r="H77" i="3"/>
  <c r="I77" i="3"/>
  <c r="J77" i="3"/>
  <c r="K77" i="3"/>
  <c r="L77" i="3"/>
  <c r="A78" i="3"/>
  <c r="B78" i="3"/>
  <c r="C78" i="3"/>
  <c r="D78" i="3"/>
  <c r="E78" i="3"/>
  <c r="F78" i="3"/>
  <c r="G78" i="3"/>
  <c r="H78" i="3"/>
  <c r="I78" i="3"/>
  <c r="J78" i="3"/>
  <c r="K78" i="3"/>
  <c r="L78" i="3"/>
  <c r="A79" i="3"/>
  <c r="B79" i="3"/>
  <c r="C79" i="3"/>
  <c r="D79" i="3"/>
  <c r="E79" i="3"/>
  <c r="F79" i="3"/>
  <c r="G79" i="3"/>
  <c r="H79" i="3"/>
  <c r="I79" i="3"/>
  <c r="J79" i="3"/>
  <c r="K79" i="3"/>
  <c r="L79" i="3"/>
  <c r="A53" i="3"/>
  <c r="B53" i="3"/>
  <c r="C53" i="3"/>
  <c r="D53" i="3"/>
  <c r="E53" i="3"/>
  <c r="F53" i="3"/>
  <c r="G53" i="3"/>
  <c r="H53" i="3"/>
  <c r="I53" i="3"/>
  <c r="J53" i="3"/>
  <c r="K53" i="3"/>
  <c r="L53" i="3"/>
  <c r="A54" i="3"/>
  <c r="B54" i="3"/>
  <c r="C54" i="3"/>
  <c r="D54" i="3"/>
  <c r="E54" i="3"/>
  <c r="F54" i="3"/>
  <c r="G54" i="3"/>
  <c r="H54" i="3"/>
  <c r="I54" i="3"/>
  <c r="J54" i="3"/>
  <c r="K54" i="3"/>
  <c r="L54" i="3"/>
  <c r="A55" i="3"/>
  <c r="B55" i="3"/>
  <c r="C55" i="3"/>
  <c r="D55" i="3"/>
  <c r="E55" i="3"/>
  <c r="F55" i="3"/>
  <c r="G55" i="3"/>
  <c r="H55" i="3"/>
  <c r="I55" i="3"/>
  <c r="J55" i="3"/>
  <c r="K55" i="3"/>
  <c r="L55" i="3"/>
  <c r="A56" i="3"/>
  <c r="B56" i="3"/>
  <c r="C56" i="3"/>
  <c r="D56" i="3"/>
  <c r="E56" i="3"/>
  <c r="F56" i="3"/>
  <c r="G56" i="3"/>
  <c r="H56" i="3"/>
  <c r="I56" i="3"/>
  <c r="J56" i="3"/>
  <c r="K56" i="3"/>
  <c r="L56" i="3"/>
  <c r="A57" i="3"/>
  <c r="B57" i="3"/>
  <c r="C57" i="3"/>
  <c r="D57" i="3"/>
  <c r="E57" i="3"/>
  <c r="F57" i="3"/>
  <c r="G57" i="3"/>
  <c r="H57" i="3"/>
  <c r="I57" i="3"/>
  <c r="J57" i="3"/>
  <c r="K57" i="3"/>
  <c r="L57" i="3"/>
  <c r="A58" i="3"/>
  <c r="B58" i="3"/>
  <c r="C58" i="3"/>
  <c r="D58" i="3"/>
  <c r="E58" i="3"/>
  <c r="F58" i="3"/>
  <c r="G58" i="3"/>
  <c r="H58" i="3"/>
  <c r="I58" i="3"/>
  <c r="J58" i="3"/>
  <c r="K58" i="3"/>
  <c r="L58" i="3"/>
  <c r="A59" i="3"/>
  <c r="B59" i="3"/>
  <c r="C59" i="3"/>
  <c r="D59" i="3"/>
  <c r="E59" i="3"/>
  <c r="F59" i="3"/>
  <c r="G59" i="3"/>
  <c r="H59" i="3"/>
  <c r="I59" i="3"/>
  <c r="J59" i="3"/>
  <c r="K59" i="3"/>
  <c r="L59" i="3"/>
  <c r="A60" i="3"/>
  <c r="B60" i="3"/>
  <c r="C60" i="3"/>
  <c r="D60" i="3"/>
  <c r="E60" i="3"/>
  <c r="F60" i="3"/>
  <c r="G60" i="3"/>
  <c r="H60" i="3"/>
  <c r="I60" i="3"/>
  <c r="J60" i="3"/>
  <c r="K60" i="3"/>
  <c r="L60" i="3"/>
  <c r="A61" i="3"/>
  <c r="B61" i="3"/>
  <c r="C61" i="3"/>
  <c r="D61" i="3"/>
  <c r="E61" i="3"/>
  <c r="F61" i="3"/>
  <c r="G61" i="3"/>
  <c r="H61" i="3"/>
  <c r="I61" i="3"/>
  <c r="J61" i="3"/>
  <c r="K61" i="3"/>
  <c r="L61" i="3"/>
  <c r="A62" i="3"/>
  <c r="B62" i="3"/>
  <c r="C62" i="3"/>
  <c r="D62" i="3"/>
  <c r="E62" i="3"/>
  <c r="F62" i="3"/>
  <c r="G62" i="3"/>
  <c r="H62" i="3"/>
  <c r="I62" i="3"/>
  <c r="J62" i="3"/>
  <c r="N62" i="3" s="1"/>
  <c r="U62" i="3" s="1"/>
  <c r="K62" i="3"/>
  <c r="L62" i="3"/>
  <c r="A63" i="3"/>
  <c r="B63" i="3"/>
  <c r="C63" i="3"/>
  <c r="D63" i="3"/>
  <c r="E63" i="3"/>
  <c r="F63" i="3"/>
  <c r="G63" i="3"/>
  <c r="H63" i="3"/>
  <c r="I63" i="3"/>
  <c r="J63" i="3"/>
  <c r="K63" i="3"/>
  <c r="L63" i="3"/>
  <c r="A64" i="3"/>
  <c r="B64" i="3"/>
  <c r="C64" i="3"/>
  <c r="D64" i="3"/>
  <c r="E64" i="3"/>
  <c r="F64" i="3"/>
  <c r="G64" i="3"/>
  <c r="H64" i="3"/>
  <c r="I64" i="3"/>
  <c r="J64" i="3"/>
  <c r="K64" i="3"/>
  <c r="L64" i="3"/>
  <c r="A65" i="3"/>
  <c r="B65" i="3"/>
  <c r="C65" i="3"/>
  <c r="D65" i="3"/>
  <c r="E65" i="3"/>
  <c r="F65" i="3"/>
  <c r="G65" i="3"/>
  <c r="H65" i="3"/>
  <c r="I65" i="3"/>
  <c r="J65" i="3"/>
  <c r="K65" i="3"/>
  <c r="L65" i="3"/>
  <c r="A66" i="3"/>
  <c r="B66" i="3"/>
  <c r="C66" i="3"/>
  <c r="D66" i="3"/>
  <c r="E66" i="3"/>
  <c r="F66" i="3"/>
  <c r="G66" i="3"/>
  <c r="H66" i="3"/>
  <c r="I66" i="3"/>
  <c r="J66" i="3"/>
  <c r="K66" i="3"/>
  <c r="L66" i="3"/>
  <c r="A33" i="3"/>
  <c r="B33" i="3"/>
  <c r="C33" i="3"/>
  <c r="D33" i="3"/>
  <c r="E33" i="3"/>
  <c r="F33" i="3"/>
  <c r="G33" i="3"/>
  <c r="H33" i="3"/>
  <c r="I33" i="3"/>
  <c r="J33" i="3"/>
  <c r="K33" i="3"/>
  <c r="L33" i="3"/>
  <c r="A34" i="3"/>
  <c r="B34" i="3"/>
  <c r="C34" i="3"/>
  <c r="D34" i="3"/>
  <c r="E34" i="3"/>
  <c r="F34" i="3"/>
  <c r="G34" i="3"/>
  <c r="H34" i="3"/>
  <c r="I34" i="3"/>
  <c r="J34" i="3"/>
  <c r="K34" i="3"/>
  <c r="L34" i="3"/>
  <c r="A35" i="3"/>
  <c r="B35" i="3"/>
  <c r="C35" i="3"/>
  <c r="D35" i="3"/>
  <c r="E35" i="3"/>
  <c r="F35" i="3"/>
  <c r="G35" i="3"/>
  <c r="H35" i="3"/>
  <c r="I35" i="3"/>
  <c r="J35" i="3"/>
  <c r="K35" i="3"/>
  <c r="L35" i="3"/>
  <c r="A36" i="3"/>
  <c r="B36" i="3"/>
  <c r="C36" i="3"/>
  <c r="D36" i="3"/>
  <c r="E36" i="3"/>
  <c r="F36" i="3"/>
  <c r="G36" i="3"/>
  <c r="H36" i="3"/>
  <c r="I36" i="3"/>
  <c r="J36" i="3"/>
  <c r="K36" i="3"/>
  <c r="L36" i="3"/>
  <c r="A37" i="3"/>
  <c r="B37" i="3"/>
  <c r="C37" i="3"/>
  <c r="D37" i="3"/>
  <c r="E37" i="3"/>
  <c r="F37" i="3"/>
  <c r="G37" i="3"/>
  <c r="H37" i="3"/>
  <c r="I37" i="3"/>
  <c r="J37" i="3"/>
  <c r="K37" i="3"/>
  <c r="L37" i="3"/>
  <c r="A38" i="3"/>
  <c r="B38" i="3"/>
  <c r="C38" i="3"/>
  <c r="D38" i="3"/>
  <c r="E38" i="3"/>
  <c r="F38" i="3"/>
  <c r="G38" i="3"/>
  <c r="H38" i="3"/>
  <c r="I38" i="3"/>
  <c r="J38" i="3"/>
  <c r="K38" i="3"/>
  <c r="L38" i="3"/>
  <c r="A39" i="3"/>
  <c r="B39" i="3"/>
  <c r="C39" i="3"/>
  <c r="D39" i="3"/>
  <c r="E39" i="3"/>
  <c r="F39" i="3"/>
  <c r="G39" i="3"/>
  <c r="H39" i="3"/>
  <c r="I39" i="3"/>
  <c r="J39" i="3"/>
  <c r="K39" i="3"/>
  <c r="L39" i="3"/>
  <c r="A40" i="3"/>
  <c r="B40" i="3"/>
  <c r="C40" i="3"/>
  <c r="D40" i="3"/>
  <c r="E40" i="3"/>
  <c r="F40" i="3"/>
  <c r="G40" i="3"/>
  <c r="H40" i="3"/>
  <c r="I40" i="3"/>
  <c r="J40" i="3"/>
  <c r="K40" i="3"/>
  <c r="L40" i="3"/>
  <c r="A41" i="3"/>
  <c r="B41" i="3"/>
  <c r="C41" i="3"/>
  <c r="D41" i="3"/>
  <c r="E41" i="3"/>
  <c r="F41" i="3"/>
  <c r="G41" i="3"/>
  <c r="H41" i="3"/>
  <c r="I41" i="3"/>
  <c r="J41" i="3"/>
  <c r="K41" i="3"/>
  <c r="L41" i="3"/>
  <c r="A42" i="3"/>
  <c r="B42" i="3"/>
  <c r="C42" i="3"/>
  <c r="D42" i="3"/>
  <c r="E42" i="3"/>
  <c r="F42" i="3"/>
  <c r="G42" i="3"/>
  <c r="H42" i="3"/>
  <c r="I42" i="3"/>
  <c r="J42" i="3"/>
  <c r="K42" i="3"/>
  <c r="L42" i="3"/>
  <c r="A43" i="3"/>
  <c r="B43" i="3"/>
  <c r="C43" i="3"/>
  <c r="D43" i="3"/>
  <c r="E43" i="3"/>
  <c r="F43" i="3"/>
  <c r="G43" i="3"/>
  <c r="H43" i="3"/>
  <c r="I43" i="3"/>
  <c r="J43" i="3"/>
  <c r="M43" i="3" s="1"/>
  <c r="S43" i="3" s="1"/>
  <c r="K43" i="3"/>
  <c r="L43" i="3"/>
  <c r="A44" i="3"/>
  <c r="B44" i="3"/>
  <c r="C44" i="3"/>
  <c r="D44" i="3"/>
  <c r="E44" i="3"/>
  <c r="F44" i="3"/>
  <c r="G44" i="3"/>
  <c r="H44" i="3"/>
  <c r="I44" i="3"/>
  <c r="J44" i="3"/>
  <c r="K44" i="3"/>
  <c r="L44" i="3"/>
  <c r="A45" i="3"/>
  <c r="B45" i="3"/>
  <c r="C45" i="3"/>
  <c r="D45" i="3"/>
  <c r="E45" i="3"/>
  <c r="F45" i="3"/>
  <c r="G45" i="3"/>
  <c r="H45" i="3"/>
  <c r="I45" i="3"/>
  <c r="J45" i="3"/>
  <c r="K45" i="3"/>
  <c r="L45" i="3"/>
  <c r="A46" i="3"/>
  <c r="B46" i="3"/>
  <c r="C46" i="3"/>
  <c r="D46" i="3"/>
  <c r="E46" i="3"/>
  <c r="F46" i="3"/>
  <c r="G46" i="3"/>
  <c r="H46" i="3"/>
  <c r="I46" i="3"/>
  <c r="J46" i="3"/>
  <c r="K46" i="3"/>
  <c r="L46" i="3"/>
  <c r="A47" i="3"/>
  <c r="B47" i="3"/>
  <c r="C47" i="3"/>
  <c r="D47" i="3"/>
  <c r="E47" i="3"/>
  <c r="F47" i="3"/>
  <c r="G47" i="3"/>
  <c r="H47" i="3"/>
  <c r="I47" i="3"/>
  <c r="J47" i="3"/>
  <c r="K47" i="3"/>
  <c r="L47" i="3"/>
  <c r="A48" i="3"/>
  <c r="B48" i="3"/>
  <c r="C48" i="3"/>
  <c r="D48" i="3"/>
  <c r="E48" i="3"/>
  <c r="F48" i="3"/>
  <c r="G48" i="3"/>
  <c r="H48" i="3"/>
  <c r="I48" i="3"/>
  <c r="J48" i="3"/>
  <c r="K48" i="3"/>
  <c r="L48" i="3"/>
  <c r="A49" i="3"/>
  <c r="B49" i="3"/>
  <c r="C49" i="3"/>
  <c r="D49" i="3"/>
  <c r="E49" i="3"/>
  <c r="F49" i="3"/>
  <c r="G49" i="3"/>
  <c r="H49" i="3"/>
  <c r="I49" i="3"/>
  <c r="J49" i="3"/>
  <c r="K49" i="3"/>
  <c r="L49" i="3"/>
  <c r="A50" i="3"/>
  <c r="B50" i="3"/>
  <c r="C50" i="3"/>
  <c r="D50" i="3"/>
  <c r="E50" i="3"/>
  <c r="F50" i="3"/>
  <c r="G50" i="3"/>
  <c r="H50" i="3"/>
  <c r="I50" i="3"/>
  <c r="J50" i="3"/>
  <c r="K50" i="3"/>
  <c r="L50" i="3"/>
  <c r="A51" i="3"/>
  <c r="B51" i="3"/>
  <c r="C51" i="3"/>
  <c r="D51" i="3"/>
  <c r="E51" i="3"/>
  <c r="F51" i="3"/>
  <c r="G51" i="3"/>
  <c r="H51" i="3"/>
  <c r="I51" i="3"/>
  <c r="J51" i="3"/>
  <c r="K51" i="3"/>
  <c r="L51" i="3"/>
  <c r="A52" i="3"/>
  <c r="B52" i="3"/>
  <c r="C52" i="3"/>
  <c r="D52" i="3"/>
  <c r="E52" i="3"/>
  <c r="F52" i="3"/>
  <c r="G52" i="3"/>
  <c r="H52" i="3"/>
  <c r="I52" i="3"/>
  <c r="J52" i="3"/>
  <c r="K52" i="3"/>
  <c r="L52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A31" i="3"/>
  <c r="B31" i="3"/>
  <c r="C31" i="3"/>
  <c r="D31" i="3"/>
  <c r="E31" i="3"/>
  <c r="F31" i="3"/>
  <c r="G31" i="3"/>
  <c r="H31" i="3"/>
  <c r="I31" i="3"/>
  <c r="J31" i="3"/>
  <c r="K31" i="3"/>
  <c r="L31" i="3"/>
  <c r="A32" i="3"/>
  <c r="B32" i="3"/>
  <c r="C32" i="3"/>
  <c r="D32" i="3"/>
  <c r="E32" i="3"/>
  <c r="F32" i="3"/>
  <c r="G32" i="3"/>
  <c r="H32" i="3"/>
  <c r="I32" i="3"/>
  <c r="J32" i="3"/>
  <c r="K32" i="3"/>
  <c r="L32" i="3"/>
  <c r="B3" i="3"/>
  <c r="A3" i="3"/>
  <c r="D3" i="3"/>
  <c r="E3" i="3"/>
  <c r="F3" i="3"/>
  <c r="G3" i="3"/>
  <c r="H3" i="3"/>
  <c r="I3" i="3"/>
  <c r="J3" i="3"/>
  <c r="K3" i="3"/>
  <c r="L3" i="3"/>
  <c r="C3" i="3"/>
  <c r="O12" i="3" l="1"/>
  <c r="O13" i="3"/>
  <c r="AE10" i="3"/>
  <c r="M14" i="3"/>
  <c r="S14" i="3" s="1"/>
  <c r="M11" i="3"/>
  <c r="S11" i="3" s="1"/>
  <c r="AE14" i="3"/>
  <c r="R11" i="3"/>
  <c r="AE11" i="3"/>
  <c r="M13" i="3"/>
  <c r="S13" i="3" s="1"/>
  <c r="R12" i="3"/>
  <c r="N14" i="3"/>
  <c r="U14" i="3" s="1"/>
  <c r="M10" i="3"/>
  <c r="S10" i="3" s="1"/>
  <c r="AE13" i="3"/>
  <c r="N10" i="3"/>
  <c r="U10" i="3" s="1"/>
  <c r="R14" i="3"/>
  <c r="R13" i="3"/>
  <c r="R10" i="3"/>
  <c r="M12" i="3"/>
  <c r="S12" i="3" s="1"/>
  <c r="T12" i="3" s="1"/>
  <c r="AE12" i="3"/>
  <c r="N12" i="3"/>
  <c r="U12" i="3" s="1"/>
  <c r="P13" i="3"/>
  <c r="T13" i="3"/>
  <c r="W13" i="3"/>
  <c r="X13" i="3" s="1"/>
  <c r="Q12" i="3"/>
  <c r="P12" i="3"/>
  <c r="W12" i="3"/>
  <c r="X12" i="3" s="1"/>
  <c r="V12" i="3"/>
  <c r="O10" i="3"/>
  <c r="O11" i="3"/>
  <c r="Q11" i="3" s="1"/>
  <c r="N13" i="3"/>
  <c r="U13" i="3" s="1"/>
  <c r="O14" i="3"/>
  <c r="AE74" i="3"/>
  <c r="N57" i="3"/>
  <c r="U57" i="3" s="1"/>
  <c r="M16" i="3"/>
  <c r="S16" i="3" s="1"/>
  <c r="AE78" i="3"/>
  <c r="M18" i="3"/>
  <c r="S18" i="3" s="1"/>
  <c r="N41" i="3"/>
  <c r="U41" i="3" s="1"/>
  <c r="M49" i="3"/>
  <c r="S49" i="3" s="1"/>
  <c r="AE66" i="3"/>
  <c r="O18" i="3"/>
  <c r="AE69" i="3"/>
  <c r="AE37" i="3"/>
  <c r="AE55" i="3"/>
  <c r="AE68" i="3"/>
  <c r="AE25" i="3"/>
  <c r="AE36" i="3"/>
  <c r="N27" i="3"/>
  <c r="U27" i="3" s="1"/>
  <c r="M26" i="3"/>
  <c r="S26" i="3" s="1"/>
  <c r="AE70" i="3"/>
  <c r="AE38" i="3"/>
  <c r="AE64" i="3"/>
  <c r="AE67" i="3"/>
  <c r="M69" i="3"/>
  <c r="S69" i="3" s="1"/>
  <c r="AE35" i="3"/>
  <c r="M21" i="3"/>
  <c r="S21" i="3" s="1"/>
  <c r="M22" i="3"/>
  <c r="S22" i="3" s="1"/>
  <c r="O8" i="3"/>
  <c r="W8" i="3" s="1"/>
  <c r="X8" i="3" s="1"/>
  <c r="M27" i="3"/>
  <c r="S27" i="3" s="1"/>
  <c r="P27" i="3" s="1"/>
  <c r="M65" i="3"/>
  <c r="S65" i="3" s="1"/>
  <c r="AE9" i="3"/>
  <c r="AE71" i="3"/>
  <c r="AE79" i="3"/>
  <c r="O62" i="3"/>
  <c r="Q62" i="3" s="1"/>
  <c r="AE76" i="3"/>
  <c r="AE50" i="3"/>
  <c r="AE39" i="3"/>
  <c r="AE52" i="3"/>
  <c r="AE44" i="3"/>
  <c r="AE62" i="3"/>
  <c r="AE54" i="3"/>
  <c r="AE57" i="3"/>
  <c r="AE73" i="3"/>
  <c r="M67" i="3"/>
  <c r="S67" i="3" s="1"/>
  <c r="AE60" i="3"/>
  <c r="AE32" i="3"/>
  <c r="AE59" i="3"/>
  <c r="AE19" i="3"/>
  <c r="AE65" i="3"/>
  <c r="AE21" i="3"/>
  <c r="AE41" i="3"/>
  <c r="AE8" i="3"/>
  <c r="AE29" i="3"/>
  <c r="AE56" i="3"/>
  <c r="R27" i="3"/>
  <c r="N61" i="3"/>
  <c r="U61" i="3" s="1"/>
  <c r="AE75" i="3"/>
  <c r="M24" i="3"/>
  <c r="S24" i="3" s="1"/>
  <c r="AE26" i="3"/>
  <c r="M58" i="3"/>
  <c r="S58" i="3" s="1"/>
  <c r="AE49" i="3"/>
  <c r="AE51" i="3"/>
  <c r="AE42" i="3"/>
  <c r="AE34" i="3"/>
  <c r="AE24" i="3"/>
  <c r="AE43" i="3"/>
  <c r="N66" i="3"/>
  <c r="U66" i="3" s="1"/>
  <c r="AE61" i="3"/>
  <c r="AE22" i="3"/>
  <c r="AE47" i="3"/>
  <c r="AE33" i="3"/>
  <c r="AE46" i="3"/>
  <c r="AE23" i="3"/>
  <c r="AE53" i="3"/>
  <c r="AE27" i="3"/>
  <c r="N4" i="3"/>
  <c r="U4" i="3" s="1"/>
  <c r="AE48" i="3"/>
  <c r="AE72" i="3"/>
  <c r="AE16" i="3"/>
  <c r="AE28" i="3"/>
  <c r="AE15" i="3"/>
  <c r="AE7" i="3"/>
  <c r="AE31" i="3"/>
  <c r="AE58" i="3"/>
  <c r="AE17" i="3"/>
  <c r="AE18" i="3"/>
  <c r="AE20" i="3"/>
  <c r="AE40" i="3"/>
  <c r="AE77" i="3"/>
  <c r="AE63" i="3"/>
  <c r="N32" i="3"/>
  <c r="U32" i="3" s="1"/>
  <c r="AE30" i="3"/>
  <c r="AE45" i="3"/>
  <c r="M54" i="3"/>
  <c r="S54" i="3" s="1"/>
  <c r="M46" i="3"/>
  <c r="S46" i="3" s="1"/>
  <c r="O67" i="3"/>
  <c r="M28" i="3"/>
  <c r="S28" i="3" s="1"/>
  <c r="N15" i="3"/>
  <c r="U15" i="3" s="1"/>
  <c r="M53" i="3"/>
  <c r="S53" i="3" s="1"/>
  <c r="M37" i="3"/>
  <c r="S37" i="3" s="1"/>
  <c r="M77" i="3"/>
  <c r="S77" i="3" s="1"/>
  <c r="N77" i="3"/>
  <c r="U77" i="3" s="1"/>
  <c r="M47" i="3"/>
  <c r="S47" i="3" s="1"/>
  <c r="N74" i="3"/>
  <c r="U74" i="3" s="1"/>
  <c r="R17" i="3"/>
  <c r="O34" i="3"/>
  <c r="O27" i="3"/>
  <c r="V27" i="3" s="1"/>
  <c r="AE5" i="3"/>
  <c r="AE6" i="3"/>
  <c r="AE4" i="3"/>
  <c r="AE3" i="3"/>
  <c r="N60" i="3"/>
  <c r="U60" i="3" s="1"/>
  <c r="M79" i="3"/>
  <c r="S79" i="3" s="1"/>
  <c r="P79" i="3" s="1"/>
  <c r="M36" i="3"/>
  <c r="S36" i="3" s="1"/>
  <c r="N79" i="3"/>
  <c r="U79" i="3" s="1"/>
  <c r="M71" i="3"/>
  <c r="S71" i="3" s="1"/>
  <c r="N49" i="3"/>
  <c r="U49" i="3" s="1"/>
  <c r="N71" i="3"/>
  <c r="U71" i="3" s="1"/>
  <c r="N24" i="3"/>
  <c r="U24" i="3" s="1"/>
  <c r="O41" i="3"/>
  <c r="W41" i="3" s="1"/>
  <c r="X41" i="3" s="1"/>
  <c r="M68" i="3"/>
  <c r="S68" i="3" s="1"/>
  <c r="N26" i="3"/>
  <c r="U26" i="3" s="1"/>
  <c r="N33" i="3"/>
  <c r="U33" i="3" s="1"/>
  <c r="N54" i="3"/>
  <c r="U54" i="3" s="1"/>
  <c r="R54" i="3"/>
  <c r="N44" i="3"/>
  <c r="U44" i="3" s="1"/>
  <c r="N38" i="3"/>
  <c r="U38" i="3" s="1"/>
  <c r="N64" i="3"/>
  <c r="U64" i="3" s="1"/>
  <c r="N59" i="3"/>
  <c r="U59" i="3" s="1"/>
  <c r="M8" i="3"/>
  <c r="S8" i="3" s="1"/>
  <c r="M7" i="3"/>
  <c r="S7" i="3" s="1"/>
  <c r="O61" i="3"/>
  <c r="W61" i="3" s="1"/>
  <c r="X61" i="3" s="1"/>
  <c r="R73" i="3"/>
  <c r="M20" i="3"/>
  <c r="S20" i="3" s="1"/>
  <c r="N48" i="3"/>
  <c r="U48" i="3" s="1"/>
  <c r="M39" i="3"/>
  <c r="S39" i="3" s="1"/>
  <c r="P39" i="3" s="1"/>
  <c r="R31" i="3"/>
  <c r="M25" i="3"/>
  <c r="S25" i="3" s="1"/>
  <c r="N70" i="3"/>
  <c r="U70" i="3" s="1"/>
  <c r="M66" i="3"/>
  <c r="S66" i="3" s="1"/>
  <c r="M30" i="3"/>
  <c r="S30" i="3" s="1"/>
  <c r="M17" i="3"/>
  <c r="S17" i="3" s="1"/>
  <c r="M45" i="3"/>
  <c r="S45" i="3" s="1"/>
  <c r="O45" i="3"/>
  <c r="T45" i="3" s="1"/>
  <c r="R61" i="3"/>
  <c r="N53" i="3"/>
  <c r="U53" i="3" s="1"/>
  <c r="R25" i="3"/>
  <c r="O9" i="3"/>
  <c r="N50" i="3"/>
  <c r="U50" i="3" s="1"/>
  <c r="N58" i="3"/>
  <c r="U58" i="3" s="1"/>
  <c r="N72" i="3"/>
  <c r="U72" i="3" s="1"/>
  <c r="M60" i="3"/>
  <c r="S60" i="3" s="1"/>
  <c r="O42" i="3"/>
  <c r="W42" i="3" s="1"/>
  <c r="X42" i="3" s="1"/>
  <c r="N19" i="3"/>
  <c r="U19" i="3" s="1"/>
  <c r="O5" i="3"/>
  <c r="M4" i="3"/>
  <c r="S4" i="3" s="1"/>
  <c r="M32" i="3"/>
  <c r="S32" i="3" s="1"/>
  <c r="R69" i="3"/>
  <c r="O17" i="3"/>
  <c r="W17" i="3" s="1"/>
  <c r="X17" i="3" s="1"/>
  <c r="M34" i="3"/>
  <c r="S34" i="3" s="1"/>
  <c r="M29" i="3"/>
  <c r="S29" i="3" s="1"/>
  <c r="O39" i="3"/>
  <c r="M61" i="3"/>
  <c r="S61" i="3" s="1"/>
  <c r="P61" i="3" s="1"/>
  <c r="M56" i="3"/>
  <c r="S56" i="3" s="1"/>
  <c r="R66" i="3"/>
  <c r="M51" i="3"/>
  <c r="S51" i="3" s="1"/>
  <c r="N56" i="3"/>
  <c r="U56" i="3" s="1"/>
  <c r="O22" i="3"/>
  <c r="O24" i="3"/>
  <c r="R22" i="3"/>
  <c r="N46" i="3"/>
  <c r="U46" i="3" s="1"/>
  <c r="R56" i="3"/>
  <c r="N51" i="3"/>
  <c r="U51" i="3" s="1"/>
  <c r="R34" i="3"/>
  <c r="M19" i="3"/>
  <c r="S19" i="3" s="1"/>
  <c r="O53" i="3"/>
  <c r="W53" i="3" s="1"/>
  <c r="X53" i="3" s="1"/>
  <c r="N78" i="3"/>
  <c r="U78" i="3" s="1"/>
  <c r="N7" i="3"/>
  <c r="U7" i="3" s="1"/>
  <c r="M48" i="3"/>
  <c r="S48" i="3" s="1"/>
  <c r="O36" i="3"/>
  <c r="W36" i="3" s="1"/>
  <c r="X36" i="3" s="1"/>
  <c r="N68" i="3"/>
  <c r="U68" i="3" s="1"/>
  <c r="R19" i="3"/>
  <c r="N75" i="3"/>
  <c r="U75" i="3" s="1"/>
  <c r="O38" i="3"/>
  <c r="W38" i="3" s="1"/>
  <c r="X38" i="3" s="1"/>
  <c r="R41" i="3"/>
  <c r="M75" i="3"/>
  <c r="S75" i="3" s="1"/>
  <c r="N43" i="3"/>
  <c r="U43" i="3" s="1"/>
  <c r="R58" i="3"/>
  <c r="M55" i="3"/>
  <c r="S55" i="3" s="1"/>
  <c r="M70" i="3"/>
  <c r="S70" i="3" s="1"/>
  <c r="O33" i="3"/>
  <c r="W33" i="3" s="1"/>
  <c r="X33" i="3" s="1"/>
  <c r="M50" i="3"/>
  <c r="S50" i="3" s="1"/>
  <c r="T18" i="3"/>
  <c r="M40" i="3"/>
  <c r="S40" i="3" s="1"/>
  <c r="M35" i="3"/>
  <c r="S35" i="3" s="1"/>
  <c r="R53" i="3"/>
  <c r="R60" i="3"/>
  <c r="O6" i="3"/>
  <c r="W6" i="3" s="1"/>
  <c r="X6" i="3" s="1"/>
  <c r="R26" i="3"/>
  <c r="R6" i="3"/>
  <c r="R35" i="3"/>
  <c r="O57" i="3"/>
  <c r="V57" i="3" s="1"/>
  <c r="R77" i="3"/>
  <c r="R72" i="3"/>
  <c r="N42" i="3"/>
  <c r="U42" i="3" s="1"/>
  <c r="M64" i="3"/>
  <c r="S64" i="3" s="1"/>
  <c r="N67" i="3"/>
  <c r="U67" i="3" s="1"/>
  <c r="N18" i="3"/>
  <c r="U18" i="3" s="1"/>
  <c r="V18" i="3" s="1"/>
  <c r="M52" i="3"/>
  <c r="S52" i="3" s="1"/>
  <c r="O47" i="3"/>
  <c r="W47" i="3" s="1"/>
  <c r="M74" i="3"/>
  <c r="S74" i="3" s="1"/>
  <c r="O66" i="3"/>
  <c r="O49" i="3"/>
  <c r="T49" i="3" s="1"/>
  <c r="M15" i="3"/>
  <c r="S15" i="3" s="1"/>
  <c r="N34" i="3"/>
  <c r="U34" i="3" s="1"/>
  <c r="O32" i="3"/>
  <c r="O71" i="3"/>
  <c r="O25" i="3"/>
  <c r="W25" i="3" s="1"/>
  <c r="X25" i="3" s="1"/>
  <c r="N20" i="3"/>
  <c r="U20" i="3" s="1"/>
  <c r="M5" i="3"/>
  <c r="S5" i="3" s="1"/>
  <c r="M44" i="3"/>
  <c r="S44" i="3" s="1"/>
  <c r="M59" i="3"/>
  <c r="S59" i="3" s="1"/>
  <c r="N76" i="3"/>
  <c r="U76" i="3" s="1"/>
  <c r="R71" i="3"/>
  <c r="M63" i="3"/>
  <c r="S63" i="3" s="1"/>
  <c r="R36" i="3"/>
  <c r="R75" i="3"/>
  <c r="O68" i="3"/>
  <c r="W68" i="3" s="1"/>
  <c r="O30" i="3"/>
  <c r="N52" i="3"/>
  <c r="U52" i="3" s="1"/>
  <c r="R50" i="3"/>
  <c r="M38" i="3"/>
  <c r="S38" i="3" s="1"/>
  <c r="O65" i="3"/>
  <c r="N63" i="3"/>
  <c r="U63" i="3" s="1"/>
  <c r="Q27" i="3"/>
  <c r="N65" i="3"/>
  <c r="U65" i="3" s="1"/>
  <c r="R68" i="3"/>
  <c r="N8" i="3"/>
  <c r="U8" i="3" s="1"/>
  <c r="R52" i="3"/>
  <c r="N45" i="3"/>
  <c r="U45" i="3" s="1"/>
  <c r="R63" i="3"/>
  <c r="R79" i="3"/>
  <c r="M23" i="3"/>
  <c r="S23" i="3" s="1"/>
  <c r="R8" i="3"/>
  <c r="R45" i="3"/>
  <c r="M33" i="3"/>
  <c r="S33" i="3" s="1"/>
  <c r="N23" i="3"/>
  <c r="U23" i="3" s="1"/>
  <c r="N47" i="3"/>
  <c r="U47" i="3" s="1"/>
  <c r="N40" i="3"/>
  <c r="U40" i="3" s="1"/>
  <c r="R38" i="3"/>
  <c r="R59" i="3"/>
  <c r="N55" i="3"/>
  <c r="U55" i="3" s="1"/>
  <c r="M76" i="3"/>
  <c r="S76" i="3" s="1"/>
  <c r="R74" i="3"/>
  <c r="R24" i="3"/>
  <c r="R5" i="3"/>
  <c r="O76" i="3"/>
  <c r="R70" i="3"/>
  <c r="R23" i="3"/>
  <c r="W18" i="3"/>
  <c r="X18" i="3" s="1"/>
  <c r="M42" i="3"/>
  <c r="S42" i="3" s="1"/>
  <c r="R55" i="3"/>
  <c r="M72" i="3"/>
  <c r="S72" i="3" s="1"/>
  <c r="R30" i="3"/>
  <c r="O16" i="3"/>
  <c r="R47" i="3"/>
  <c r="O37" i="3"/>
  <c r="R33" i="3"/>
  <c r="R76" i="3"/>
  <c r="R32" i="3"/>
  <c r="O29" i="3"/>
  <c r="N35" i="3"/>
  <c r="U35" i="3" s="1"/>
  <c r="R65" i="3"/>
  <c r="O21" i="3"/>
  <c r="R18" i="3"/>
  <c r="O59" i="3"/>
  <c r="M57" i="3"/>
  <c r="S57" i="3" s="1"/>
  <c r="M78" i="3"/>
  <c r="S78" i="3" s="1"/>
  <c r="O46" i="3"/>
  <c r="W46" i="3" s="1"/>
  <c r="X46" i="3" s="1"/>
  <c r="O74" i="3"/>
  <c r="R43" i="3"/>
  <c r="R21" i="3"/>
  <c r="R42" i="3"/>
  <c r="R29" i="3"/>
  <c r="M62" i="3"/>
  <c r="S62" i="3" s="1"/>
  <c r="R78" i="3"/>
  <c r="R49" i="3"/>
  <c r="M31" i="3"/>
  <c r="S31" i="3" s="1"/>
  <c r="N16" i="3"/>
  <c r="U16" i="3" s="1"/>
  <c r="R7" i="3"/>
  <c r="R51" i="3"/>
  <c r="R44" i="3"/>
  <c r="N37" i="3"/>
  <c r="U37" i="3" s="1"/>
  <c r="R57" i="3"/>
  <c r="M9" i="3"/>
  <c r="S9" i="3" s="1"/>
  <c r="R16" i="3"/>
  <c r="R37" i="3"/>
  <c r="R62" i="3"/>
  <c r="N69" i="3"/>
  <c r="U69" i="3" s="1"/>
  <c r="N31" i="3"/>
  <c r="U31" i="3" s="1"/>
  <c r="O54" i="3"/>
  <c r="O50" i="3"/>
  <c r="O60" i="3"/>
  <c r="O75" i="3"/>
  <c r="O26" i="3"/>
  <c r="R64" i="3"/>
  <c r="R67" i="3"/>
  <c r="M6" i="3"/>
  <c r="S6" i="3" s="1"/>
  <c r="R48" i="3"/>
  <c r="M41" i="3"/>
  <c r="S41" i="3" s="1"/>
  <c r="R15" i="3"/>
  <c r="R28" i="3"/>
  <c r="O19" i="3"/>
  <c r="R46" i="3"/>
  <c r="R39" i="3"/>
  <c r="O58" i="3"/>
  <c r="O79" i="3"/>
  <c r="N73" i="3"/>
  <c r="U73" i="3" s="1"/>
  <c r="O72" i="3"/>
  <c r="O73" i="3"/>
  <c r="P73" i="3" s="1"/>
  <c r="O77" i="3"/>
  <c r="O69" i="3"/>
  <c r="O78" i="3"/>
  <c r="O70" i="3"/>
  <c r="O63" i="3"/>
  <c r="O55" i="3"/>
  <c r="O64" i="3"/>
  <c r="O56" i="3"/>
  <c r="R40" i="3"/>
  <c r="N39" i="3"/>
  <c r="U39" i="3" s="1"/>
  <c r="O48" i="3"/>
  <c r="O40" i="3"/>
  <c r="O51" i="3"/>
  <c r="O43" i="3"/>
  <c r="O35" i="3"/>
  <c r="O44" i="3"/>
  <c r="O52" i="3"/>
  <c r="N36" i="3"/>
  <c r="U36" i="3" s="1"/>
  <c r="R9" i="3"/>
  <c r="N25" i="3"/>
  <c r="U25" i="3" s="1"/>
  <c r="N17" i="3"/>
  <c r="U17" i="3" s="1"/>
  <c r="N9" i="3"/>
  <c r="U9" i="3" s="1"/>
  <c r="P18" i="3"/>
  <c r="R4" i="3"/>
  <c r="R20" i="3"/>
  <c r="O28" i="3"/>
  <c r="O20" i="3"/>
  <c r="O4" i="3"/>
  <c r="N28" i="3"/>
  <c r="U28" i="3" s="1"/>
  <c r="N29" i="3"/>
  <c r="U29" i="3" s="1"/>
  <c r="N21" i="3"/>
  <c r="U21" i="3" s="1"/>
  <c r="N5" i="3"/>
  <c r="U5" i="3" s="1"/>
  <c r="N30" i="3"/>
  <c r="U30" i="3" s="1"/>
  <c r="N22" i="3"/>
  <c r="U22" i="3" s="1"/>
  <c r="N6" i="3"/>
  <c r="U6" i="3" s="1"/>
  <c r="O31" i="3"/>
  <c r="O23" i="3"/>
  <c r="O15" i="3"/>
  <c r="O7" i="3"/>
  <c r="O3" i="3"/>
  <c r="W3" i="3" s="1"/>
  <c r="X3" i="3" s="1"/>
  <c r="M3" i="3"/>
  <c r="S3" i="3" s="1"/>
  <c r="R3" i="3"/>
  <c r="N3" i="3"/>
  <c r="U3" i="3" s="1"/>
  <c r="P16" i="3" l="1"/>
  <c r="Q13" i="3"/>
  <c r="W10" i="3"/>
  <c r="T10" i="3"/>
  <c r="V10" i="3"/>
  <c r="Z12" i="3"/>
  <c r="AC12" i="3" s="1"/>
  <c r="Q10" i="3"/>
  <c r="T14" i="3"/>
  <c r="V14" i="3"/>
  <c r="W14" i="3"/>
  <c r="T11" i="3"/>
  <c r="V11" i="3"/>
  <c r="W11" i="3"/>
  <c r="P10" i="3"/>
  <c r="V13" i="3"/>
  <c r="Z13" i="3" s="1"/>
  <c r="AC13" i="3" s="1"/>
  <c r="P11" i="3"/>
  <c r="Y13" i="3"/>
  <c r="AB13" i="3" s="1"/>
  <c r="Y12" i="3"/>
  <c r="AB12" i="3" s="1"/>
  <c r="Q14" i="3"/>
  <c r="P14" i="3"/>
  <c r="P69" i="3"/>
  <c r="V74" i="3"/>
  <c r="V32" i="3"/>
  <c r="V62" i="3"/>
  <c r="T21" i="3"/>
  <c r="P67" i="3"/>
  <c r="Q52" i="3"/>
  <c r="V8" i="3"/>
  <c r="Z8" i="3" s="1"/>
  <c r="AC8" i="3" s="1"/>
  <c r="P32" i="3"/>
  <c r="Q32" i="3"/>
  <c r="P49" i="3"/>
  <c r="W62" i="3"/>
  <c r="X62" i="3" s="1"/>
  <c r="Z62" i="3" s="1"/>
  <c r="AC62" i="3" s="1"/>
  <c r="T8" i="3"/>
  <c r="W49" i="3"/>
  <c r="P25" i="3"/>
  <c r="V25" i="3"/>
  <c r="Q16" i="3"/>
  <c r="Q19" i="3"/>
  <c r="P62" i="3"/>
  <c r="Q8" i="3"/>
  <c r="V34" i="3"/>
  <c r="Z34" i="3" s="1"/>
  <c r="AC34" i="3" s="1"/>
  <c r="T67" i="3"/>
  <c r="W67" i="3"/>
  <c r="X67" i="3" s="1"/>
  <c r="T65" i="3"/>
  <c r="Q42" i="3"/>
  <c r="T27" i="3"/>
  <c r="P29" i="3"/>
  <c r="Q63" i="3"/>
  <c r="P42" i="3"/>
  <c r="T58" i="3"/>
  <c r="T22" i="3"/>
  <c r="W32" i="3"/>
  <c r="X32" i="3" s="1"/>
  <c r="P5" i="3"/>
  <c r="T3" i="3"/>
  <c r="Y3" i="3" s="1"/>
  <c r="AB3" i="3" s="1"/>
  <c r="P45" i="3"/>
  <c r="P30" i="3"/>
  <c r="Q79" i="3"/>
  <c r="T24" i="3"/>
  <c r="P40" i="3"/>
  <c r="W34" i="3"/>
  <c r="X34" i="3" s="1"/>
  <c r="Q33" i="3"/>
  <c r="Q58" i="3"/>
  <c r="P6" i="3"/>
  <c r="T9" i="3"/>
  <c r="Q24" i="3"/>
  <c r="Q67" i="3"/>
  <c r="V71" i="3"/>
  <c r="P64" i="3"/>
  <c r="Q49" i="3"/>
  <c r="P41" i="3"/>
  <c r="V9" i="3"/>
  <c r="T34" i="3"/>
  <c r="Y67" i="3"/>
  <c r="AB67" i="3" s="1"/>
  <c r="T71" i="3"/>
  <c r="Y8" i="3"/>
  <c r="AB8" i="3" s="1"/>
  <c r="V49" i="3"/>
  <c r="Q41" i="3"/>
  <c r="W27" i="3"/>
  <c r="T42" i="3"/>
  <c r="Y42" i="3" s="1"/>
  <c r="AB42" i="3" s="1"/>
  <c r="P22" i="3"/>
  <c r="W71" i="3"/>
  <c r="X71" i="3" s="1"/>
  <c r="V33" i="3"/>
  <c r="Z33" i="3" s="1"/>
  <c r="AC33" i="3" s="1"/>
  <c r="T39" i="3"/>
  <c r="P77" i="3"/>
  <c r="Q38" i="3"/>
  <c r="T33" i="3"/>
  <c r="Y33" i="3" s="1"/>
  <c r="AB33" i="3" s="1"/>
  <c r="Q34" i="3"/>
  <c r="V41" i="3"/>
  <c r="Z41" i="3" s="1"/>
  <c r="AC41" i="3" s="1"/>
  <c r="Q45" i="3"/>
  <c r="T79" i="3"/>
  <c r="W9" i="3"/>
  <c r="X9" i="3" s="1"/>
  <c r="P9" i="3"/>
  <c r="V79" i="3"/>
  <c r="P23" i="3"/>
  <c r="P72" i="3"/>
  <c r="T37" i="3"/>
  <c r="T66" i="3"/>
  <c r="P35" i="3"/>
  <c r="Q37" i="3"/>
  <c r="V16" i="3"/>
  <c r="Q68" i="3"/>
  <c r="V5" i="3"/>
  <c r="P3" i="3"/>
  <c r="T5" i="3"/>
  <c r="P4" i="3"/>
  <c r="T29" i="3"/>
  <c r="W39" i="3"/>
  <c r="X39" i="3" s="1"/>
  <c r="Q71" i="3"/>
  <c r="T25" i="3"/>
  <c r="Y25" i="3" s="1"/>
  <c r="AB25" i="3" s="1"/>
  <c r="P71" i="3"/>
  <c r="V42" i="3"/>
  <c r="Z42" i="3" s="1"/>
  <c r="AC42" i="3" s="1"/>
  <c r="P19" i="3"/>
  <c r="P17" i="3"/>
  <c r="T17" i="3"/>
  <c r="Y17" i="3" s="1"/>
  <c r="AB17" i="3" s="1"/>
  <c r="Q78" i="3"/>
  <c r="V45" i="3"/>
  <c r="P34" i="3"/>
  <c r="P44" i="3"/>
  <c r="V37" i="3"/>
  <c r="T32" i="3"/>
  <c r="Q75" i="3"/>
  <c r="P21" i="3"/>
  <c r="W58" i="3"/>
  <c r="X58" i="3" s="1"/>
  <c r="P8" i="3"/>
  <c r="P58" i="3"/>
  <c r="P63" i="3"/>
  <c r="W16" i="3"/>
  <c r="X16" i="3" s="1"/>
  <c r="P52" i="3"/>
  <c r="W5" i="3"/>
  <c r="X5" i="3" s="1"/>
  <c r="T16" i="3"/>
  <c r="W45" i="3"/>
  <c r="X45" i="3" s="1"/>
  <c r="V61" i="3"/>
  <c r="Z61" i="3" s="1"/>
  <c r="AC61" i="3" s="1"/>
  <c r="V50" i="3"/>
  <c r="V24" i="3"/>
  <c r="T38" i="3"/>
  <c r="Y38" i="3" s="1"/>
  <c r="AB38" i="3" s="1"/>
  <c r="V76" i="3"/>
  <c r="Q64" i="3"/>
  <c r="V38" i="3"/>
  <c r="Z38" i="3" s="1"/>
  <c r="AC38" i="3" s="1"/>
  <c r="P7" i="3"/>
  <c r="W37" i="3"/>
  <c r="X37" i="3" s="1"/>
  <c r="Q43" i="3"/>
  <c r="P51" i="3"/>
  <c r="Q57" i="3"/>
  <c r="T59" i="3"/>
  <c r="Q61" i="3"/>
  <c r="X47" i="3"/>
  <c r="P38" i="3"/>
  <c r="W30" i="3"/>
  <c r="X30" i="3" s="1"/>
  <c r="P36" i="3"/>
  <c r="T53" i="3"/>
  <c r="Y53" i="3" s="1"/>
  <c r="AB53" i="3" s="1"/>
  <c r="Q35" i="3"/>
  <c r="P66" i="3"/>
  <c r="P53" i="3"/>
  <c r="T19" i="3"/>
  <c r="P48" i="3"/>
  <c r="P76" i="3"/>
  <c r="Q18" i="3"/>
  <c r="P57" i="3"/>
  <c r="P47" i="3"/>
  <c r="V68" i="3"/>
  <c r="V66" i="3"/>
  <c r="P24" i="3"/>
  <c r="W57" i="3"/>
  <c r="V22" i="3"/>
  <c r="T61" i="3"/>
  <c r="Y61" i="3" s="1"/>
  <c r="AB61" i="3" s="1"/>
  <c r="W24" i="3"/>
  <c r="X24" i="3" s="1"/>
  <c r="T41" i="3"/>
  <c r="V53" i="3"/>
  <c r="Z53" i="3" s="1"/>
  <c r="AC53" i="3" s="1"/>
  <c r="W29" i="3"/>
  <c r="X29" i="3" s="1"/>
  <c r="Y41" i="3"/>
  <c r="AB41" i="3" s="1"/>
  <c r="W22" i="3"/>
  <c r="X22" i="3" s="1"/>
  <c r="Q47" i="3"/>
  <c r="W66" i="3"/>
  <c r="T36" i="3"/>
  <c r="Y36" i="3" s="1"/>
  <c r="AB36" i="3" s="1"/>
  <c r="V67" i="3"/>
  <c r="V36" i="3"/>
  <c r="Z36" i="3" s="1"/>
  <c r="AC36" i="3" s="1"/>
  <c r="T47" i="3"/>
  <c r="V46" i="3"/>
  <c r="Z46" i="3" s="1"/>
  <c r="AC46" i="3" s="1"/>
  <c r="Q66" i="3"/>
  <c r="Q53" i="3"/>
  <c r="V30" i="3"/>
  <c r="P46" i="3"/>
  <c r="Q76" i="3"/>
  <c r="T60" i="3"/>
  <c r="V60" i="3"/>
  <c r="W60" i="3"/>
  <c r="T57" i="3"/>
  <c r="T68" i="3"/>
  <c r="V47" i="3"/>
  <c r="Q65" i="3"/>
  <c r="W76" i="3"/>
  <c r="X76" i="3" s="1"/>
  <c r="Q44" i="3"/>
  <c r="P54" i="3"/>
  <c r="V54" i="3"/>
  <c r="W54" i="3"/>
  <c r="X54" i="3" s="1"/>
  <c r="Q60" i="3"/>
  <c r="Y18" i="3"/>
  <c r="AB18" i="3" s="1"/>
  <c r="W74" i="3"/>
  <c r="X74" i="3" s="1"/>
  <c r="P74" i="3"/>
  <c r="V59" i="3"/>
  <c r="P65" i="3"/>
  <c r="T30" i="3"/>
  <c r="P33" i="3"/>
  <c r="P60" i="3"/>
  <c r="W59" i="3"/>
  <c r="X59" i="3" s="1"/>
  <c r="V65" i="3"/>
  <c r="Q74" i="3"/>
  <c r="W50" i="3"/>
  <c r="X50" i="3" s="1"/>
  <c r="T26" i="3"/>
  <c r="W26" i="3"/>
  <c r="W21" i="3"/>
  <c r="Q46" i="3"/>
  <c r="T76" i="3"/>
  <c r="T6" i="3"/>
  <c r="Y6" i="3" s="1"/>
  <c r="AB6" i="3" s="1"/>
  <c r="T75" i="3"/>
  <c r="W75" i="3"/>
  <c r="T74" i="3"/>
  <c r="P26" i="3"/>
  <c r="V19" i="3"/>
  <c r="W19" i="3"/>
  <c r="P50" i="3"/>
  <c r="V75" i="3"/>
  <c r="Z18" i="3"/>
  <c r="AC18" i="3" s="1"/>
  <c r="P68" i="3"/>
  <c r="W79" i="3"/>
  <c r="X79" i="3" s="1"/>
  <c r="V21" i="3"/>
  <c r="P59" i="3"/>
  <c r="T46" i="3"/>
  <c r="Y46" i="3" s="1"/>
  <c r="AB46" i="3" s="1"/>
  <c r="T54" i="3"/>
  <c r="Q59" i="3"/>
  <c r="T62" i="3"/>
  <c r="Y62" i="3" s="1"/>
  <c r="AB62" i="3" s="1"/>
  <c r="P75" i="3"/>
  <c r="Q26" i="3"/>
  <c r="W65" i="3"/>
  <c r="X65" i="3" s="1"/>
  <c r="T50" i="3"/>
  <c r="P37" i="3"/>
  <c r="V58" i="3"/>
  <c r="Q50" i="3"/>
  <c r="V26" i="3"/>
  <c r="Q54" i="3"/>
  <c r="T69" i="3"/>
  <c r="V69" i="3"/>
  <c r="W69" i="3"/>
  <c r="V72" i="3"/>
  <c r="W72" i="3"/>
  <c r="T72" i="3"/>
  <c r="T70" i="3"/>
  <c r="V70" i="3"/>
  <c r="W70" i="3"/>
  <c r="Q69" i="3"/>
  <c r="X68" i="3"/>
  <c r="Q72" i="3"/>
  <c r="T77" i="3"/>
  <c r="V77" i="3"/>
  <c r="W77" i="3"/>
  <c r="V73" i="3"/>
  <c r="W73" i="3"/>
  <c r="T73" i="3"/>
  <c r="Q70" i="3"/>
  <c r="T78" i="3"/>
  <c r="V78" i="3"/>
  <c r="W78" i="3"/>
  <c r="Q77" i="3"/>
  <c r="P70" i="3"/>
  <c r="Q73" i="3"/>
  <c r="P78" i="3"/>
  <c r="T56" i="3"/>
  <c r="V56" i="3"/>
  <c r="W56" i="3"/>
  <c r="T55" i="3"/>
  <c r="V55" i="3"/>
  <c r="W55" i="3"/>
  <c r="P55" i="3"/>
  <c r="Q55" i="3"/>
  <c r="V64" i="3"/>
  <c r="T64" i="3"/>
  <c r="W64" i="3"/>
  <c r="W63" i="3"/>
  <c r="T63" i="3"/>
  <c r="V63" i="3"/>
  <c r="Q56" i="3"/>
  <c r="P56" i="3"/>
  <c r="Q39" i="3"/>
  <c r="T40" i="3"/>
  <c r="W40" i="3"/>
  <c r="V40" i="3"/>
  <c r="Q48" i="3"/>
  <c r="Q36" i="3"/>
  <c r="V39" i="3"/>
  <c r="Q40" i="3"/>
  <c r="T35" i="3"/>
  <c r="V35" i="3"/>
  <c r="W35" i="3"/>
  <c r="T43" i="3"/>
  <c r="V43" i="3"/>
  <c r="W43" i="3"/>
  <c r="T48" i="3"/>
  <c r="V48" i="3"/>
  <c r="W48" i="3"/>
  <c r="T51" i="3"/>
  <c r="W51" i="3"/>
  <c r="V51" i="3"/>
  <c r="T52" i="3"/>
  <c r="W52" i="3"/>
  <c r="V52" i="3"/>
  <c r="T44" i="3"/>
  <c r="V44" i="3"/>
  <c r="W44" i="3"/>
  <c r="Q51" i="3"/>
  <c r="P43" i="3"/>
  <c r="W4" i="3"/>
  <c r="T4" i="3"/>
  <c r="V4" i="3"/>
  <c r="Q29" i="3"/>
  <c r="Q28" i="3"/>
  <c r="T15" i="3"/>
  <c r="V15" i="3"/>
  <c r="W15" i="3"/>
  <c r="Q9" i="3"/>
  <c r="Q6" i="3"/>
  <c r="V20" i="3"/>
  <c r="T20" i="3"/>
  <c r="W20" i="3"/>
  <c r="W28" i="3"/>
  <c r="V28" i="3"/>
  <c r="T28" i="3"/>
  <c r="Q17" i="3"/>
  <c r="T23" i="3"/>
  <c r="V23" i="3"/>
  <c r="W23" i="3"/>
  <c r="T31" i="3"/>
  <c r="V31" i="3"/>
  <c r="W31" i="3"/>
  <c r="P28" i="3"/>
  <c r="V17" i="3"/>
  <c r="Z17" i="3" s="1"/>
  <c r="AC17" i="3" s="1"/>
  <c r="Q23" i="3"/>
  <c r="Q30" i="3"/>
  <c r="P20" i="3"/>
  <c r="Q4" i="3"/>
  <c r="T7" i="3"/>
  <c r="V7" i="3"/>
  <c r="W7" i="3"/>
  <c r="P31" i="3"/>
  <c r="Q5" i="3"/>
  <c r="V29" i="3"/>
  <c r="Q31" i="3"/>
  <c r="Z25" i="3"/>
  <c r="AC25" i="3" s="1"/>
  <c r="Q25" i="3"/>
  <c r="Q20" i="3"/>
  <c r="Q22" i="3"/>
  <c r="V6" i="3"/>
  <c r="Z6" i="3" s="1"/>
  <c r="AC6" i="3" s="1"/>
  <c r="Q21" i="3"/>
  <c r="P15" i="3"/>
  <c r="Q7" i="3"/>
  <c r="Q15" i="3"/>
  <c r="Q3" i="3"/>
  <c r="V3" i="3"/>
  <c r="Z3" i="3" s="1"/>
  <c r="AC3" i="3" s="1"/>
  <c r="X14" i="3" l="1"/>
  <c r="Y14" i="3"/>
  <c r="AB14" i="3" s="1"/>
  <c r="Z14" i="3"/>
  <c r="AC14" i="3" s="1"/>
  <c r="X10" i="3"/>
  <c r="Z10" i="3"/>
  <c r="AC10" i="3" s="1"/>
  <c r="Y10" i="3"/>
  <c r="AB10" i="3" s="1"/>
  <c r="X11" i="3"/>
  <c r="Y11" i="3"/>
  <c r="AB11" i="3" s="1"/>
  <c r="Z11" i="3"/>
  <c r="AC11" i="3" s="1"/>
  <c r="Z39" i="3"/>
  <c r="AC39" i="3" s="1"/>
  <c r="Z67" i="3"/>
  <c r="AC67" i="3" s="1"/>
  <c r="Y47" i="3"/>
  <c r="AB47" i="3" s="1"/>
  <c r="Y34" i="3"/>
  <c r="AB34" i="3" s="1"/>
  <c r="Z32" i="3"/>
  <c r="AC32" i="3" s="1"/>
  <c r="Z30" i="3"/>
  <c r="AC30" i="3" s="1"/>
  <c r="Y32" i="3"/>
  <c r="AB32" i="3" s="1"/>
  <c r="X49" i="3"/>
  <c r="Z49" i="3" s="1"/>
  <c r="AC49" i="3" s="1"/>
  <c r="Y49" i="3"/>
  <c r="AB49" i="3" s="1"/>
  <c r="Y37" i="3"/>
  <c r="AB37" i="3" s="1"/>
  <c r="Z37" i="3"/>
  <c r="AC37" i="3" s="1"/>
  <c r="Y50" i="3"/>
  <c r="AB50" i="3" s="1"/>
  <c r="Z71" i="3"/>
  <c r="AC71" i="3" s="1"/>
  <c r="Z16" i="3"/>
  <c r="AC16" i="3" s="1"/>
  <c r="Y79" i="3"/>
  <c r="AB79" i="3" s="1"/>
  <c r="Z9" i="3"/>
  <c r="AC9" i="3" s="1"/>
  <c r="Z29" i="3"/>
  <c r="AC29" i="3" s="1"/>
  <c r="Z58" i="3"/>
  <c r="AC58" i="3" s="1"/>
  <c r="X27" i="3"/>
  <c r="Z27" i="3" s="1"/>
  <c r="AC27" i="3" s="1"/>
  <c r="Y27" i="3"/>
  <c r="AB27" i="3" s="1"/>
  <c r="Z47" i="3"/>
  <c r="AC47" i="3" s="1"/>
  <c r="Z68" i="3"/>
  <c r="AC68" i="3" s="1"/>
  <c r="Y71" i="3"/>
  <c r="AB71" i="3" s="1"/>
  <c r="Y39" i="3"/>
  <c r="AB39" i="3" s="1"/>
  <c r="Y9" i="3"/>
  <c r="AB9" i="3" s="1"/>
  <c r="Z5" i="3"/>
  <c r="AC5" i="3" s="1"/>
  <c r="Z45" i="3"/>
  <c r="AC45" i="3" s="1"/>
  <c r="Y16" i="3"/>
  <c r="AB16" i="3" s="1"/>
  <c r="Y45" i="3"/>
  <c r="AB45" i="3" s="1"/>
  <c r="Y5" i="3"/>
  <c r="AB5" i="3" s="1"/>
  <c r="Y58" i="3"/>
  <c r="AB58" i="3" s="1"/>
  <c r="Y65" i="3"/>
  <c r="AB65" i="3" s="1"/>
  <c r="Y68" i="3"/>
  <c r="AB68" i="3" s="1"/>
  <c r="Y29" i="3"/>
  <c r="AB29" i="3" s="1"/>
  <c r="Z65" i="3"/>
  <c r="AC65" i="3" s="1"/>
  <c r="Z54" i="3"/>
  <c r="AC54" i="3" s="1"/>
  <c r="Z22" i="3"/>
  <c r="AC22" i="3" s="1"/>
  <c r="Z50" i="3"/>
  <c r="AC50" i="3" s="1"/>
  <c r="Y22" i="3"/>
  <c r="AB22" i="3" s="1"/>
  <c r="Y24" i="3"/>
  <c r="AB24" i="3" s="1"/>
  <c r="Y30" i="3"/>
  <c r="AB30" i="3" s="1"/>
  <c r="X57" i="3"/>
  <c r="Y57" i="3" s="1"/>
  <c r="AB57" i="3" s="1"/>
  <c r="Z57" i="3"/>
  <c r="AC57" i="3" s="1"/>
  <c r="Z24" i="3"/>
  <c r="AC24" i="3" s="1"/>
  <c r="X66" i="3"/>
  <c r="Y66" i="3"/>
  <c r="AB66" i="3" s="1"/>
  <c r="Z66" i="3"/>
  <c r="AC66" i="3" s="1"/>
  <c r="Y54" i="3"/>
  <c r="AB54" i="3" s="1"/>
  <c r="Z74" i="3"/>
  <c r="AC74" i="3" s="1"/>
  <c r="Y74" i="3"/>
  <c r="AB74" i="3" s="1"/>
  <c r="X21" i="3"/>
  <c r="Z21" i="3" s="1"/>
  <c r="AC21" i="3" s="1"/>
  <c r="Y21" i="3"/>
  <c r="AB21" i="3" s="1"/>
  <c r="X19" i="3"/>
  <c r="Y19" i="3" s="1"/>
  <c r="AB19" i="3" s="1"/>
  <c r="Z19" i="3"/>
  <c r="AC19" i="3" s="1"/>
  <c r="Z59" i="3"/>
  <c r="AC59" i="3" s="1"/>
  <c r="X60" i="3"/>
  <c r="Z60" i="3" s="1"/>
  <c r="AC60" i="3" s="1"/>
  <c r="Y60" i="3"/>
  <c r="AB60" i="3" s="1"/>
  <c r="Z79" i="3"/>
  <c r="AC79" i="3" s="1"/>
  <c r="X26" i="3"/>
  <c r="Z26" i="3" s="1"/>
  <c r="AC26" i="3" s="1"/>
  <c r="Z76" i="3"/>
  <c r="AC76" i="3" s="1"/>
  <c r="Y59" i="3"/>
  <c r="AB59" i="3" s="1"/>
  <c r="X75" i="3"/>
  <c r="Z75" i="3" s="1"/>
  <c r="AC75" i="3" s="1"/>
  <c r="Y76" i="3"/>
  <c r="AB76" i="3" s="1"/>
  <c r="X73" i="3"/>
  <c r="Z73" i="3"/>
  <c r="AC73" i="3" s="1"/>
  <c r="Y73" i="3"/>
  <c r="AB73" i="3" s="1"/>
  <c r="X70" i="3"/>
  <c r="Z70" i="3" s="1"/>
  <c r="AC70" i="3" s="1"/>
  <c r="Y70" i="3"/>
  <c r="AB70" i="3" s="1"/>
  <c r="X72" i="3"/>
  <c r="Z72" i="3" s="1"/>
  <c r="AC72" i="3" s="1"/>
  <c r="X77" i="3"/>
  <c r="Z77" i="3"/>
  <c r="AC77" i="3" s="1"/>
  <c r="Y77" i="3"/>
  <c r="AB77" i="3" s="1"/>
  <c r="X69" i="3"/>
  <c r="Z69" i="3"/>
  <c r="AC69" i="3" s="1"/>
  <c r="Y69" i="3"/>
  <c r="AB69" i="3" s="1"/>
  <c r="X78" i="3"/>
  <c r="Y78" i="3"/>
  <c r="AB78" i="3" s="1"/>
  <c r="Z78" i="3"/>
  <c r="AC78" i="3" s="1"/>
  <c r="X64" i="3"/>
  <c r="Y64" i="3"/>
  <c r="AB64" i="3" s="1"/>
  <c r="Z64" i="3"/>
  <c r="AC64" i="3" s="1"/>
  <c r="X63" i="3"/>
  <c r="Z63" i="3"/>
  <c r="AC63" i="3" s="1"/>
  <c r="Y63" i="3"/>
  <c r="AB63" i="3" s="1"/>
  <c r="X56" i="3"/>
  <c r="Y56" i="3" s="1"/>
  <c r="AB56" i="3" s="1"/>
  <c r="Z56" i="3"/>
  <c r="AC56" i="3" s="1"/>
  <c r="X55" i="3"/>
  <c r="Z55" i="3"/>
  <c r="AC55" i="3" s="1"/>
  <c r="Y55" i="3"/>
  <c r="AB55" i="3" s="1"/>
  <c r="X48" i="3"/>
  <c r="Z48" i="3" s="1"/>
  <c r="AC48" i="3" s="1"/>
  <c r="Y48" i="3"/>
  <c r="AB48" i="3" s="1"/>
  <c r="X43" i="3"/>
  <c r="Y43" i="3" s="1"/>
  <c r="AB43" i="3" s="1"/>
  <c r="X35" i="3"/>
  <c r="Y35" i="3" s="1"/>
  <c r="AB35" i="3" s="1"/>
  <c r="X44" i="3"/>
  <c r="Z44" i="3"/>
  <c r="AC44" i="3" s="1"/>
  <c r="Y44" i="3"/>
  <c r="AB44" i="3" s="1"/>
  <c r="X40" i="3"/>
  <c r="Y40" i="3" s="1"/>
  <c r="AB40" i="3" s="1"/>
  <c r="Z40" i="3"/>
  <c r="AC40" i="3" s="1"/>
  <c r="X51" i="3"/>
  <c r="Y51" i="3"/>
  <c r="AB51" i="3" s="1"/>
  <c r="Z51" i="3"/>
  <c r="AC51" i="3" s="1"/>
  <c r="X52" i="3"/>
  <c r="Y52" i="3" s="1"/>
  <c r="AB52" i="3" s="1"/>
  <c r="Z52" i="3"/>
  <c r="AC52" i="3" s="1"/>
  <c r="X28" i="3"/>
  <c r="Y28" i="3"/>
  <c r="AB28" i="3" s="1"/>
  <c r="Z28" i="3"/>
  <c r="AC28" i="3" s="1"/>
  <c r="X23" i="3"/>
  <c r="Z23" i="3"/>
  <c r="AC23" i="3" s="1"/>
  <c r="Y23" i="3"/>
  <c r="AB23" i="3" s="1"/>
  <c r="X15" i="3"/>
  <c r="Z15" i="3" s="1"/>
  <c r="AC15" i="3" s="1"/>
  <c r="X31" i="3"/>
  <c r="Z31" i="3" s="1"/>
  <c r="AC31" i="3" s="1"/>
  <c r="X7" i="3"/>
  <c r="Z7" i="3" s="1"/>
  <c r="AC7" i="3" s="1"/>
  <c r="X20" i="3"/>
  <c r="Y20" i="3"/>
  <c r="AB20" i="3" s="1"/>
  <c r="Z20" i="3"/>
  <c r="AC20" i="3" s="1"/>
  <c r="X4" i="3"/>
  <c r="Y4" i="3" s="1"/>
  <c r="AB4" i="3" s="1"/>
  <c r="Y26" i="3" l="1"/>
  <c r="AB26" i="3" s="1"/>
  <c r="Z35" i="3"/>
  <c r="AC35" i="3" s="1"/>
  <c r="Z4" i="3"/>
  <c r="AC4" i="3" s="1"/>
  <c r="Y31" i="3"/>
  <c r="AB31" i="3" s="1"/>
  <c r="Y7" i="3"/>
  <c r="AB7" i="3" s="1"/>
  <c r="Y15" i="3"/>
  <c r="AB15" i="3" s="1"/>
  <c r="Z43" i="3"/>
  <c r="AC43" i="3" s="1"/>
  <c r="Y75" i="3"/>
  <c r="AB75" i="3" s="1"/>
  <c r="Y72" i="3"/>
  <c r="AB72" i="3" s="1"/>
</calcChain>
</file>

<file path=xl/sharedStrings.xml><?xml version="1.0" encoding="utf-8"?>
<sst xmlns="http://schemas.openxmlformats.org/spreadsheetml/2006/main" count="85" uniqueCount="35">
  <si>
    <t>LOOPED</t>
  </si>
  <si>
    <t>MAX_TURNS</t>
  </si>
  <si>
    <t>TIE-Sf</t>
  </si>
  <si>
    <t>TIE-St</t>
  </si>
  <si>
    <t>WINf-Sf</t>
  </si>
  <si>
    <t>WINf-St</t>
  </si>
  <si>
    <t>WINt-Sf</t>
  </si>
  <si>
    <t>WINt-St</t>
  </si>
  <si>
    <t>no_result</t>
  </si>
  <si>
    <t>endless</t>
  </si>
  <si>
    <t>t_wins</t>
  </si>
  <si>
    <t>str_wins</t>
  </si>
  <si>
    <t>t_win_pct</t>
  </si>
  <si>
    <t>str_w_pct</t>
  </si>
  <si>
    <t>tie_pct</t>
  </si>
  <si>
    <t>win_pval</t>
  </si>
  <si>
    <t>starter_pval</t>
  </si>
  <si>
    <t>win_fair</t>
  </si>
  <si>
    <t>starter_fair</t>
  </si>
  <si>
    <t>Game</t>
  </si>
  <si>
    <t>copy</t>
  </si>
  <si>
    <t>MAXED</t>
  </si>
  <si>
    <t>wins</t>
  </si>
  <si>
    <t>True Win %</t>
  </si>
  <si>
    <t>Starter Win %</t>
  </si>
  <si>
    <t>Tie % of all</t>
  </si>
  <si>
    <t>f_wins</t>
  </si>
  <si>
    <t>starter_wins</t>
  </si>
  <si>
    <t>ns_wins</t>
  </si>
  <si>
    <t>expect1</t>
  </si>
  <si>
    <t>expect2</t>
  </si>
  <si>
    <t>w pval</t>
  </si>
  <si>
    <t>st pval</t>
  </si>
  <si>
    <t>win Fair</t>
  </si>
  <si>
    <t>Starter 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</si>
</sst>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0" fontId="0" fillId="0" borderId="0" xfId="1" applyNumberFormat="1" applyFont="1"/>
    <xf numFmtId="0" fontId="18" fillId="33" borderId="0" xfId="0" applyFont="1" applyFill="1" applyAlignment="1">
      <alignment vertical="top"/>
    </xf>
    <xf numFmtId="0" fontId="18" fillId="34" borderId="0" xfId="0" applyFont="1" applyFill="1" applyAlignment="1">
      <alignment vertical="top"/>
    </xf>
    <xf numFmtId="0" fontId="18" fillId="34" borderId="0" xfId="0" applyFont="1" applyFill="1" applyAlignment="1">
      <alignment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3"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DECD-E5A7-4EDB-8D85-8DCBC70BBB34}">
  <sheetPr codeName="Sheet1"/>
  <dimension ref="A1:T78"/>
  <sheetViews>
    <sheetView workbookViewId="0">
      <selection activeCell="B4" sqref="B4"/>
    </sheetView>
  </sheetViews>
  <sheetFormatPr defaultRowHeight="15" x14ac:dyDescent="0.25"/>
  <sheetData>
    <row r="1" spans="1:20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N2" s="2"/>
      <c r="O2" s="2"/>
      <c r="P2" s="2"/>
    </row>
    <row r="3" spans="1:20" x14ac:dyDescent="0.25">
      <c r="N3" s="2"/>
      <c r="O3" s="2"/>
      <c r="P3" s="2"/>
    </row>
    <row r="4" spans="1:20" x14ac:dyDescent="0.25">
      <c r="N4" s="2"/>
      <c r="O4" s="2"/>
      <c r="P4" s="2"/>
    </row>
    <row r="5" spans="1:20" x14ac:dyDescent="0.25">
      <c r="N5" s="2"/>
      <c r="O5" s="2"/>
      <c r="P5" s="2"/>
    </row>
    <row r="6" spans="1:20" x14ac:dyDescent="0.25">
      <c r="N6" s="2"/>
      <c r="O6" s="2"/>
      <c r="P6" s="2"/>
    </row>
    <row r="7" spans="1:20" x14ac:dyDescent="0.25">
      <c r="N7" s="2"/>
      <c r="O7" s="2"/>
      <c r="P7" s="2"/>
    </row>
    <row r="8" spans="1:20" x14ac:dyDescent="0.25">
      <c r="N8" s="2"/>
      <c r="O8" s="2"/>
      <c r="P8" s="2"/>
    </row>
    <row r="9" spans="1:20" x14ac:dyDescent="0.25">
      <c r="N9" s="2"/>
      <c r="O9" s="2"/>
      <c r="P9" s="2"/>
    </row>
    <row r="10" spans="1:20" x14ac:dyDescent="0.25">
      <c r="N10" s="2"/>
      <c r="O10" s="2"/>
      <c r="P10" s="2"/>
    </row>
    <row r="11" spans="1:20" x14ac:dyDescent="0.25">
      <c r="N11" s="2"/>
      <c r="O11" s="2"/>
      <c r="P11" s="2"/>
    </row>
    <row r="12" spans="1:20" x14ac:dyDescent="0.25">
      <c r="N12" s="2"/>
      <c r="O12" s="2"/>
      <c r="P12" s="2"/>
    </row>
    <row r="13" spans="1:20" x14ac:dyDescent="0.25">
      <c r="N13" s="2"/>
      <c r="O13" s="2"/>
      <c r="P13" s="2"/>
    </row>
    <row r="14" spans="1:20" x14ac:dyDescent="0.25">
      <c r="N14" s="2"/>
      <c r="O14" s="2"/>
      <c r="P14" s="2"/>
    </row>
    <row r="15" spans="1:20" x14ac:dyDescent="0.25">
      <c r="N15" s="2"/>
      <c r="O15" s="2"/>
      <c r="P15" s="2"/>
    </row>
    <row r="16" spans="1:20" x14ac:dyDescent="0.25">
      <c r="N16" s="2"/>
      <c r="O16" s="2"/>
      <c r="P16" s="2"/>
    </row>
    <row r="17" spans="14:16" x14ac:dyDescent="0.25">
      <c r="N17" s="2"/>
      <c r="O17" s="2"/>
      <c r="P17" s="2"/>
    </row>
    <row r="18" spans="14:16" x14ac:dyDescent="0.25">
      <c r="N18" s="2"/>
      <c r="O18" s="2"/>
      <c r="P18" s="2"/>
    </row>
    <row r="19" spans="14:16" x14ac:dyDescent="0.25">
      <c r="N19" s="2"/>
      <c r="O19" s="2"/>
      <c r="P19" s="2"/>
    </row>
    <row r="20" spans="14:16" x14ac:dyDescent="0.25">
      <c r="N20" s="2"/>
      <c r="O20" s="2"/>
      <c r="P20" s="2"/>
    </row>
    <row r="21" spans="14:16" x14ac:dyDescent="0.25">
      <c r="N21" s="2"/>
      <c r="O21" s="2"/>
      <c r="P21" s="2"/>
    </row>
    <row r="22" spans="14:16" x14ac:dyDescent="0.25">
      <c r="N22" s="2"/>
      <c r="O22" s="2"/>
      <c r="P22" s="2"/>
    </row>
    <row r="23" spans="14:16" x14ac:dyDescent="0.25">
      <c r="N23" s="2"/>
      <c r="O23" s="2"/>
      <c r="P23" s="2"/>
    </row>
    <row r="24" spans="14:16" x14ac:dyDescent="0.25">
      <c r="N24" s="2"/>
      <c r="O24" s="2"/>
      <c r="P24" s="2"/>
    </row>
    <row r="25" spans="14:16" x14ac:dyDescent="0.25">
      <c r="N25" s="2"/>
      <c r="O25" s="2"/>
      <c r="P25" s="2"/>
    </row>
    <row r="26" spans="14:16" x14ac:dyDescent="0.25">
      <c r="N26" s="2"/>
      <c r="O26" s="2"/>
      <c r="P26" s="2"/>
    </row>
    <row r="27" spans="14:16" x14ac:dyDescent="0.25">
      <c r="N27" s="2"/>
      <c r="O27" s="2"/>
      <c r="P27" s="2"/>
    </row>
    <row r="28" spans="14:16" x14ac:dyDescent="0.25">
      <c r="N28" s="2"/>
      <c r="O28" s="2"/>
      <c r="P28" s="2"/>
    </row>
    <row r="29" spans="14:16" x14ac:dyDescent="0.25">
      <c r="N29" s="2"/>
      <c r="O29" s="2"/>
      <c r="P29" s="2"/>
    </row>
    <row r="30" spans="14:16" x14ac:dyDescent="0.25">
      <c r="N30" s="2"/>
      <c r="O30" s="2"/>
      <c r="P30" s="2"/>
    </row>
    <row r="31" spans="14:16" x14ac:dyDescent="0.25">
      <c r="N31" s="2"/>
      <c r="O31" s="2"/>
      <c r="P31" s="2"/>
    </row>
    <row r="32" spans="14:16" x14ac:dyDescent="0.25">
      <c r="N32" s="2"/>
      <c r="O32" s="2"/>
      <c r="P32" s="2"/>
    </row>
    <row r="33" spans="14:16" x14ac:dyDescent="0.25">
      <c r="N33" s="2"/>
      <c r="O33" s="2"/>
      <c r="P33" s="2"/>
    </row>
    <row r="34" spans="14:16" x14ac:dyDescent="0.25">
      <c r="N34" s="2"/>
      <c r="O34" s="2"/>
      <c r="P34" s="2"/>
    </row>
    <row r="35" spans="14:16" x14ac:dyDescent="0.25">
      <c r="N35" s="2"/>
      <c r="O35" s="2"/>
      <c r="P35" s="2"/>
    </row>
    <row r="36" spans="14:16" x14ac:dyDescent="0.25">
      <c r="N36" s="2"/>
      <c r="O36" s="2"/>
      <c r="P36" s="2"/>
    </row>
    <row r="37" spans="14:16" x14ac:dyDescent="0.25">
      <c r="N37" s="2"/>
      <c r="O37" s="2"/>
      <c r="P37" s="2"/>
    </row>
    <row r="38" spans="14:16" x14ac:dyDescent="0.25">
      <c r="N38" s="2"/>
      <c r="O38" s="2"/>
      <c r="P38" s="2"/>
    </row>
    <row r="39" spans="14:16" x14ac:dyDescent="0.25">
      <c r="N39" s="2"/>
      <c r="O39" s="2"/>
      <c r="P39" s="2"/>
    </row>
    <row r="40" spans="14:16" x14ac:dyDescent="0.25">
      <c r="N40" s="2"/>
      <c r="O40" s="2"/>
      <c r="P40" s="2"/>
    </row>
    <row r="41" spans="14:16" x14ac:dyDescent="0.25">
      <c r="N41" s="2"/>
      <c r="O41" s="2"/>
      <c r="P41" s="2"/>
    </row>
    <row r="42" spans="14:16" x14ac:dyDescent="0.25">
      <c r="N42" s="2"/>
      <c r="O42" s="2"/>
      <c r="P42" s="2"/>
    </row>
    <row r="43" spans="14:16" x14ac:dyDescent="0.25">
      <c r="N43" s="2"/>
      <c r="O43" s="2"/>
      <c r="P43" s="2"/>
    </row>
    <row r="44" spans="14:16" x14ac:dyDescent="0.25">
      <c r="N44" s="2"/>
      <c r="O44" s="2"/>
      <c r="P44" s="2"/>
    </row>
    <row r="45" spans="14:16" x14ac:dyDescent="0.25">
      <c r="N45" s="2"/>
      <c r="O45" s="2"/>
      <c r="P45" s="2"/>
    </row>
    <row r="46" spans="14:16" x14ac:dyDescent="0.25">
      <c r="N46" s="2"/>
      <c r="O46" s="2"/>
      <c r="P46" s="2"/>
    </row>
    <row r="47" spans="14:16" x14ac:dyDescent="0.25">
      <c r="N47" s="2"/>
      <c r="O47" s="2"/>
      <c r="P47" s="2"/>
    </row>
    <row r="48" spans="14:16" x14ac:dyDescent="0.25">
      <c r="N48" s="2"/>
      <c r="O48" s="2"/>
      <c r="P48" s="2"/>
    </row>
    <row r="49" spans="14:16" x14ac:dyDescent="0.25">
      <c r="N49" s="2"/>
      <c r="O49" s="2"/>
      <c r="P49" s="2"/>
    </row>
    <row r="50" spans="14:16" x14ac:dyDescent="0.25">
      <c r="N50" s="2"/>
      <c r="O50" s="2"/>
      <c r="P50" s="2"/>
    </row>
    <row r="51" spans="14:16" x14ac:dyDescent="0.25">
      <c r="N51" s="2"/>
      <c r="O51" s="2"/>
      <c r="P51" s="2"/>
    </row>
    <row r="52" spans="14:16" x14ac:dyDescent="0.25">
      <c r="N52" s="2"/>
      <c r="O52" s="2"/>
      <c r="P52" s="2"/>
    </row>
    <row r="53" spans="14:16" x14ac:dyDescent="0.25">
      <c r="N53" s="2"/>
      <c r="O53" s="2"/>
      <c r="P53" s="2"/>
    </row>
    <row r="54" spans="14:16" x14ac:dyDescent="0.25">
      <c r="N54" s="2"/>
      <c r="O54" s="2"/>
      <c r="P54" s="2"/>
    </row>
    <row r="55" spans="14:16" x14ac:dyDescent="0.25">
      <c r="N55" s="2"/>
      <c r="O55" s="2"/>
      <c r="P55" s="2"/>
    </row>
    <row r="56" spans="14:16" x14ac:dyDescent="0.25">
      <c r="N56" s="2"/>
      <c r="O56" s="2"/>
      <c r="P56" s="2"/>
    </row>
    <row r="57" spans="14:16" x14ac:dyDescent="0.25">
      <c r="N57" s="2"/>
      <c r="O57" s="2"/>
      <c r="P57" s="2"/>
    </row>
    <row r="58" spans="14:16" x14ac:dyDescent="0.25">
      <c r="N58" s="2"/>
      <c r="O58" s="2"/>
      <c r="P58" s="2"/>
    </row>
    <row r="59" spans="14:16" x14ac:dyDescent="0.25">
      <c r="N59" s="2"/>
      <c r="O59" s="2"/>
      <c r="P59" s="2"/>
    </row>
    <row r="60" spans="14:16" x14ac:dyDescent="0.25">
      <c r="N60" s="2"/>
      <c r="O60" s="2"/>
      <c r="P60" s="2"/>
    </row>
    <row r="61" spans="14:16" x14ac:dyDescent="0.25">
      <c r="N61" s="2"/>
      <c r="O61" s="2"/>
      <c r="P61" s="2"/>
    </row>
    <row r="62" spans="14:16" x14ac:dyDescent="0.25">
      <c r="N62" s="2"/>
      <c r="O62" s="2"/>
      <c r="P62" s="2"/>
    </row>
    <row r="63" spans="14:16" x14ac:dyDescent="0.25">
      <c r="N63" s="2"/>
      <c r="O63" s="2"/>
      <c r="P63" s="2"/>
    </row>
    <row r="64" spans="14:16" x14ac:dyDescent="0.25">
      <c r="N64" s="2"/>
      <c r="O64" s="2"/>
      <c r="P64" s="2"/>
    </row>
    <row r="65" spans="14:16" x14ac:dyDescent="0.25">
      <c r="N65" s="2"/>
      <c r="O65" s="2"/>
      <c r="P65" s="2"/>
    </row>
    <row r="66" spans="14:16" x14ac:dyDescent="0.25">
      <c r="N66" s="2"/>
      <c r="O66" s="2"/>
      <c r="P66" s="2"/>
    </row>
    <row r="67" spans="14:16" x14ac:dyDescent="0.25">
      <c r="N67" s="2"/>
      <c r="O67" s="2"/>
      <c r="P67" s="2"/>
    </row>
    <row r="68" spans="14:16" x14ac:dyDescent="0.25">
      <c r="N68" s="2"/>
      <c r="O68" s="2"/>
      <c r="P68" s="2"/>
    </row>
    <row r="69" spans="14:16" x14ac:dyDescent="0.25">
      <c r="N69" s="2"/>
      <c r="O69" s="2"/>
      <c r="P69" s="2"/>
    </row>
    <row r="70" spans="14:16" x14ac:dyDescent="0.25">
      <c r="N70" s="2"/>
      <c r="O70" s="2"/>
      <c r="P70" s="2"/>
    </row>
    <row r="71" spans="14:16" x14ac:dyDescent="0.25">
      <c r="N71" s="2"/>
      <c r="O71" s="2"/>
      <c r="P71" s="2"/>
    </row>
    <row r="72" spans="14:16" x14ac:dyDescent="0.25">
      <c r="N72" s="2"/>
      <c r="O72" s="2"/>
      <c r="P72" s="2"/>
    </row>
    <row r="73" spans="14:16" x14ac:dyDescent="0.25">
      <c r="N73" s="2"/>
      <c r="O73" s="2"/>
      <c r="P73" s="2"/>
    </row>
    <row r="74" spans="14:16" x14ac:dyDescent="0.25">
      <c r="N74" s="2"/>
      <c r="O74" s="2"/>
      <c r="P74" s="2"/>
    </row>
    <row r="75" spans="14:16" x14ac:dyDescent="0.25">
      <c r="N75" s="2"/>
      <c r="O75" s="2"/>
      <c r="P75" s="2"/>
    </row>
    <row r="76" spans="14:16" x14ac:dyDescent="0.25">
      <c r="N76" s="2"/>
      <c r="O76" s="2"/>
      <c r="P76" s="2"/>
    </row>
    <row r="77" spans="14:16" x14ac:dyDescent="0.25">
      <c r="N77" s="2"/>
      <c r="O77" s="2"/>
      <c r="P77" s="2"/>
    </row>
    <row r="78" spans="14:16" x14ac:dyDescent="0.25">
      <c r="N78" s="2"/>
      <c r="O78" s="2"/>
      <c r="P78" s="2"/>
    </row>
  </sheetData>
  <conditionalFormatting sqref="L2:L78">
    <cfRule type="cellIs" dxfId="22" priority="11" operator="lessThan">
      <formula>8000</formula>
    </cfRule>
  </conditionalFormatting>
  <conditionalFormatting sqref="N2:O54">
    <cfRule type="cellIs" dxfId="21" priority="1" stopIfTrue="1" operator="lessThan">
      <formula>0.4</formula>
    </cfRule>
    <cfRule type="cellIs" dxfId="20" priority="2" stopIfTrue="1" operator="greaterThan">
      <formula>0.6</formula>
    </cfRule>
    <cfRule type="cellIs" dxfId="19" priority="3" stopIfTrue="1" operator="lessThan">
      <formula>0.48</formula>
    </cfRule>
    <cfRule type="cellIs" dxfId="18" priority="4" operator="greaterThan">
      <formula>0.52</formula>
    </cfRule>
  </conditionalFormatting>
  <conditionalFormatting sqref="P2:P78">
    <cfRule type="cellIs" dxfId="17" priority="8" operator="greaterThan">
      <formula>0.4</formula>
    </cfRule>
    <cfRule type="cellIs" dxfId="16" priority="9" stopIfTrue="1" operator="greaterThan">
      <formula>0.1</formula>
    </cfRule>
    <cfRule type="cellIs" dxfId="15" priority="10" operator="greaterThan">
      <formula>0.05</formula>
    </cfRule>
  </conditionalFormatting>
  <conditionalFormatting sqref="Q2:R78">
    <cfRule type="cellIs" dxfId="14" priority="5" operator="between">
      <formula>0.05</formula>
      <formula>0.15</formula>
    </cfRule>
    <cfRule type="cellIs" dxfId="13" priority="6" operator="between">
      <formula>0.001</formula>
      <formula>0.05</formula>
    </cfRule>
  </conditionalFormatting>
  <conditionalFormatting sqref="S2:T78">
    <cfRule type="cellIs" dxfId="12" priority="7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7D6-87F1-48CC-A179-AA8823644002}">
  <sheetPr codeName="Sheet2"/>
  <dimension ref="A1:T75"/>
  <sheetViews>
    <sheetView tabSelected="1" workbookViewId="0">
      <selection activeCell="A2" sqref="A2"/>
    </sheetView>
  </sheetViews>
  <sheetFormatPr defaultRowHeight="15" x14ac:dyDescent="0.25"/>
  <sheetData>
    <row r="1" spans="1:20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R2" s="1"/>
    </row>
    <row r="5" spans="1:20" x14ac:dyDescent="0.25">
      <c r="R5" s="1"/>
    </row>
    <row r="7" spans="1:20" x14ac:dyDescent="0.25">
      <c r="R7" s="1"/>
    </row>
    <row r="9" spans="1:20" x14ac:dyDescent="0.25">
      <c r="R9" s="1"/>
    </row>
    <row r="10" spans="1:20" x14ac:dyDescent="0.25">
      <c r="R10" s="1"/>
    </row>
    <row r="13" spans="1:20" x14ac:dyDescent="0.25">
      <c r="R13" s="1"/>
    </row>
    <row r="14" spans="1:20" x14ac:dyDescent="0.25">
      <c r="R14" s="1"/>
    </row>
    <row r="15" spans="1:20" x14ac:dyDescent="0.25">
      <c r="R15" s="1"/>
    </row>
    <row r="18" spans="16:18" x14ac:dyDescent="0.25">
      <c r="R18" s="1"/>
    </row>
    <row r="21" spans="16:18" x14ac:dyDescent="0.25">
      <c r="R21" s="1"/>
    </row>
    <row r="22" spans="16:18" x14ac:dyDescent="0.25">
      <c r="P22" s="1"/>
    </row>
    <row r="23" spans="16:18" x14ac:dyDescent="0.25">
      <c r="R23" s="1"/>
    </row>
    <row r="26" spans="16:18" x14ac:dyDescent="0.25">
      <c r="R26" s="1"/>
    </row>
    <row r="29" spans="16:18" x14ac:dyDescent="0.25">
      <c r="R29" s="1"/>
    </row>
    <row r="30" spans="16:18" x14ac:dyDescent="0.25">
      <c r="R30" s="1"/>
    </row>
    <row r="31" spans="16:18" x14ac:dyDescent="0.25">
      <c r="R31" s="1"/>
    </row>
    <row r="34" spans="18:18" x14ac:dyDescent="0.25">
      <c r="R34" s="1"/>
    </row>
    <row r="35" spans="18:18" x14ac:dyDescent="0.25">
      <c r="R35" s="1"/>
    </row>
    <row r="36" spans="18:18" x14ac:dyDescent="0.25">
      <c r="R36" s="1"/>
    </row>
    <row r="41" spans="18:18" x14ac:dyDescent="0.25">
      <c r="R41" s="1"/>
    </row>
    <row r="42" spans="18:18" x14ac:dyDescent="0.25">
      <c r="R42" s="1"/>
    </row>
    <row r="43" spans="18:18" x14ac:dyDescent="0.25">
      <c r="R43" s="1"/>
    </row>
    <row r="45" spans="18:18" x14ac:dyDescent="0.25">
      <c r="R45" s="1"/>
    </row>
    <row r="48" spans="18:18" x14ac:dyDescent="0.25">
      <c r="R48" s="1"/>
    </row>
    <row r="53" spans="18:18" x14ac:dyDescent="0.25">
      <c r="R53" s="1"/>
    </row>
    <row r="54" spans="18:18" x14ac:dyDescent="0.25">
      <c r="R54" s="1"/>
    </row>
    <row r="55" spans="18:18" x14ac:dyDescent="0.25">
      <c r="R55" s="1"/>
    </row>
    <row r="56" spans="18:18" x14ac:dyDescent="0.25">
      <c r="R56" s="1"/>
    </row>
    <row r="57" spans="18:18" x14ac:dyDescent="0.25">
      <c r="R57" s="1"/>
    </row>
    <row r="58" spans="18:18" x14ac:dyDescent="0.25">
      <c r="R58" s="1"/>
    </row>
    <row r="61" spans="18:18" x14ac:dyDescent="0.25">
      <c r="R61" s="1"/>
    </row>
    <row r="62" spans="18:18" x14ac:dyDescent="0.25">
      <c r="R62" s="1"/>
    </row>
    <row r="63" spans="18:18" x14ac:dyDescent="0.25">
      <c r="R63" s="1"/>
    </row>
    <row r="66" spans="18:18" x14ac:dyDescent="0.25">
      <c r="R66" s="1"/>
    </row>
    <row r="69" spans="18:18" x14ac:dyDescent="0.25">
      <c r="R69" s="1"/>
    </row>
    <row r="70" spans="18:18" x14ac:dyDescent="0.25">
      <c r="R70" s="1"/>
    </row>
    <row r="72" spans="18:18" x14ac:dyDescent="0.25">
      <c r="R72" s="1"/>
    </row>
    <row r="73" spans="18:18" x14ac:dyDescent="0.25">
      <c r="R73" s="1"/>
    </row>
    <row r="75" spans="18:18" x14ac:dyDescent="0.25">
      <c r="R75" s="1"/>
    </row>
  </sheetData>
  <conditionalFormatting sqref="S2:T10 S12:T78">
    <cfRule type="cellIs" dxfId="11" priority="1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42A5-F1C8-4E94-9BB0-BF0ED2DFC7B4}">
  <sheetPr codeName="Sheet3">
    <tabColor rgb="FF00B050"/>
  </sheetPr>
  <dimension ref="A1:AE85"/>
  <sheetViews>
    <sheetView workbookViewId="0">
      <selection activeCell="C6" sqref="C6"/>
    </sheetView>
  </sheetViews>
  <sheetFormatPr defaultRowHeight="15" x14ac:dyDescent="0.25"/>
  <cols>
    <col min="15" max="15" width="0" hidden="1" customWidth="1"/>
    <col min="19" max="24" width="0" hidden="1" customWidth="1"/>
    <col min="27" max="27" width="0" hidden="1" customWidth="1"/>
  </cols>
  <sheetData>
    <row r="1" spans="1:31" x14ac:dyDescent="0.25">
      <c r="C1" t="s">
        <v>20</v>
      </c>
      <c r="D1" t="s">
        <v>20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20</v>
      </c>
      <c r="L1" t="s">
        <v>20</v>
      </c>
      <c r="M1" t="s">
        <v>20</v>
      </c>
      <c r="N1" t="s">
        <v>20</v>
      </c>
      <c r="P1" t="s">
        <v>20</v>
      </c>
      <c r="Q1" t="s">
        <v>20</v>
      </c>
      <c r="R1" t="s">
        <v>20</v>
      </c>
      <c r="Y1" t="s">
        <v>20</v>
      </c>
      <c r="Z1" t="s">
        <v>20</v>
      </c>
      <c r="AB1" t="s">
        <v>20</v>
      </c>
      <c r="AC1" t="s">
        <v>20</v>
      </c>
    </row>
    <row r="2" spans="1:31" ht="30" x14ac:dyDescent="0.25">
      <c r="C2" s="3" t="s">
        <v>0</v>
      </c>
      <c r="D2" s="3" t="s">
        <v>21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4" t="s">
        <v>10</v>
      </c>
      <c r="N2" s="4" t="s">
        <v>11</v>
      </c>
      <c r="O2" s="4" t="s">
        <v>22</v>
      </c>
      <c r="P2" s="5" t="s">
        <v>23</v>
      </c>
      <c r="Q2" s="5" t="s">
        <v>24</v>
      </c>
      <c r="R2" s="5" t="s">
        <v>25</v>
      </c>
      <c r="S2" s="4" t="s">
        <v>10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>
        <v>0.05</v>
      </c>
      <c r="AB2" s="4" t="s">
        <v>33</v>
      </c>
      <c r="AC2" s="5" t="s">
        <v>34</v>
      </c>
    </row>
    <row r="3" spans="1:31" x14ac:dyDescent="0.25">
      <c r="A3">
        <f>FirstRuns!A2</f>
        <v>0</v>
      </c>
      <c r="B3">
        <f>SecondRuns!A2</f>
        <v>0</v>
      </c>
      <c r="C3">
        <f>FirstRuns!B2+SecondRuns!B2</f>
        <v>0</v>
      </c>
      <c r="D3">
        <f>FirstRuns!C2+SecondRuns!C2</f>
        <v>0</v>
      </c>
      <c r="E3">
        <f>FirstRuns!D2+SecondRuns!D2</f>
        <v>0</v>
      </c>
      <c r="F3">
        <f>FirstRuns!E2+SecondRuns!E2</f>
        <v>0</v>
      </c>
      <c r="G3">
        <f>FirstRuns!F2+SecondRuns!F2</f>
        <v>0</v>
      </c>
      <c r="H3">
        <f>FirstRuns!G2+SecondRuns!G2</f>
        <v>0</v>
      </c>
      <c r="I3">
        <f>FirstRuns!H2+SecondRuns!H2</f>
        <v>0</v>
      </c>
      <c r="J3">
        <f>FirstRuns!I2+SecondRuns!I2</f>
        <v>0</v>
      </c>
      <c r="K3">
        <f>FirstRuns!J2+SecondRuns!J2</f>
        <v>0</v>
      </c>
      <c r="L3">
        <f>FirstRuns!K2+SecondRuns!K2</f>
        <v>0</v>
      </c>
      <c r="M3">
        <f>SUM(I3:J3)</f>
        <v>0</v>
      </c>
      <c r="N3">
        <f>SUM(G3,J3)</f>
        <v>0</v>
      </c>
      <c r="O3">
        <f>SUM(G3:J3)</f>
        <v>0</v>
      </c>
      <c r="P3" s="2" t="e">
        <f>S3/O3</f>
        <v>#DIV/0!</v>
      </c>
      <c r="Q3" s="2" t="e">
        <f>U3/O3</f>
        <v>#DIV/0!</v>
      </c>
      <c r="R3" s="2" t="e">
        <f>SUM(E3:F3)/SUM(C3:J3)</f>
        <v>#DIV/0!</v>
      </c>
      <c r="S3">
        <f t="shared" ref="S3" si="0">M3</f>
        <v>0</v>
      </c>
      <c r="T3">
        <f>O3-S3</f>
        <v>0</v>
      </c>
      <c r="U3">
        <f t="shared" ref="U3" si="1">N3</f>
        <v>0</v>
      </c>
      <c r="V3">
        <f>O3-U3</f>
        <v>0</v>
      </c>
      <c r="W3">
        <f>O3/2</f>
        <v>0</v>
      </c>
      <c r="X3">
        <f>W3</f>
        <v>0</v>
      </c>
      <c r="Y3" t="e">
        <f>_xlfn.CHISQ.TEST(S3:T3,W3:X3)</f>
        <v>#DIV/0!</v>
      </c>
      <c r="Z3" t="e">
        <f>_xlfn.CHISQ.TEST(U3:V3,W3:X3)</f>
        <v>#DIV/0!</v>
      </c>
      <c r="AB3" t="e">
        <f>Y3 &gt;$AA$2</f>
        <v>#DIV/0!</v>
      </c>
      <c r="AC3" t="e">
        <f>Z3 &gt;$AA$2</f>
        <v>#DIV/0!</v>
      </c>
      <c r="AE3">
        <f>SUM(B3:J3)</f>
        <v>0</v>
      </c>
    </row>
    <row r="4" spans="1:31" x14ac:dyDescent="0.25">
      <c r="A4">
        <f>FirstRuns!A3</f>
        <v>0</v>
      </c>
      <c r="B4">
        <f>SecondRuns!A3</f>
        <v>0</v>
      </c>
      <c r="C4">
        <f>FirstRuns!B3+SecondRuns!B3</f>
        <v>0</v>
      </c>
      <c r="D4">
        <f>FirstRuns!C3+SecondRuns!C3</f>
        <v>0</v>
      </c>
      <c r="E4">
        <f>FirstRuns!D3+SecondRuns!D3</f>
        <v>0</v>
      </c>
      <c r="F4">
        <f>FirstRuns!E3+SecondRuns!E3</f>
        <v>0</v>
      </c>
      <c r="G4">
        <f>FirstRuns!F3+SecondRuns!F3</f>
        <v>0</v>
      </c>
      <c r="H4">
        <f>FirstRuns!G3+SecondRuns!G3</f>
        <v>0</v>
      </c>
      <c r="I4">
        <f>FirstRuns!H3+SecondRuns!H3</f>
        <v>0</v>
      </c>
      <c r="J4">
        <f>FirstRuns!I3+SecondRuns!I3</f>
        <v>0</v>
      </c>
      <c r="K4">
        <f>FirstRuns!J3+SecondRuns!J3</f>
        <v>0</v>
      </c>
      <c r="L4">
        <f>FirstRuns!K3+SecondRuns!K3</f>
        <v>0</v>
      </c>
      <c r="M4">
        <f t="shared" ref="M4:M32" si="2">SUM(I4:J4)</f>
        <v>0</v>
      </c>
      <c r="N4">
        <f t="shared" ref="N4:N32" si="3">SUM(G4,J4)</f>
        <v>0</v>
      </c>
      <c r="O4">
        <f t="shared" ref="O4:O32" si="4">SUM(G4:J4)</f>
        <v>0</v>
      </c>
      <c r="P4" s="2" t="e">
        <f t="shared" ref="P4:P32" si="5">S4/O4</f>
        <v>#DIV/0!</v>
      </c>
      <c r="Q4" s="2" t="e">
        <f t="shared" ref="Q4:Q32" si="6">U4/O4</f>
        <v>#DIV/0!</v>
      </c>
      <c r="R4" s="2" t="e">
        <f t="shared" ref="R4:R32" si="7">SUM(E4:F4)/SUM(C4:J4)</f>
        <v>#DIV/0!</v>
      </c>
      <c r="S4">
        <f t="shared" ref="S4:S33" si="8">M4</f>
        <v>0</v>
      </c>
      <c r="T4">
        <f t="shared" ref="T4:T32" si="9">O4-S4</f>
        <v>0</v>
      </c>
      <c r="U4">
        <f t="shared" ref="U4:U33" si="10">N4</f>
        <v>0</v>
      </c>
      <c r="V4">
        <f t="shared" ref="V4:V32" si="11">O4-U4</f>
        <v>0</v>
      </c>
      <c r="W4">
        <f t="shared" ref="W4:W32" si="12">O4/2</f>
        <v>0</v>
      </c>
      <c r="X4">
        <f t="shared" ref="X4:X68" si="13">W4</f>
        <v>0</v>
      </c>
      <c r="Y4" t="e">
        <f t="shared" ref="Y4:Y32" si="14">_xlfn.CHISQ.TEST(S4:T4,W4:X4)</f>
        <v>#DIV/0!</v>
      </c>
      <c r="Z4" t="e">
        <f t="shared" ref="Z4:Z32" si="15">_xlfn.CHISQ.TEST(U4:V4,W4:X4)</f>
        <v>#DIV/0!</v>
      </c>
      <c r="AB4" t="e">
        <f t="shared" ref="AB4:AB32" si="16">Y4 &gt;$AA$2</f>
        <v>#DIV/0!</v>
      </c>
      <c r="AC4" t="e">
        <f t="shared" ref="AC4:AC32" si="17">Z4 &gt;$AA$2</f>
        <v>#DIV/0!</v>
      </c>
      <c r="AE4">
        <f t="shared" ref="AE4:AE67" si="18">SUM(B4:J4)</f>
        <v>0</v>
      </c>
    </row>
    <row r="5" spans="1:31" x14ac:dyDescent="0.25">
      <c r="A5">
        <f>FirstRuns!A4</f>
        <v>0</v>
      </c>
      <c r="B5">
        <f>SecondRuns!A4</f>
        <v>0</v>
      </c>
      <c r="C5">
        <f>FirstRuns!B4+SecondRuns!B4</f>
        <v>0</v>
      </c>
      <c r="D5">
        <f>FirstRuns!C4+SecondRuns!C4</f>
        <v>0</v>
      </c>
      <c r="E5">
        <f>FirstRuns!D4+SecondRuns!D4</f>
        <v>0</v>
      </c>
      <c r="F5">
        <f>FirstRuns!E4+SecondRuns!E4</f>
        <v>0</v>
      </c>
      <c r="G5">
        <f>FirstRuns!F4+SecondRuns!F4</f>
        <v>0</v>
      </c>
      <c r="H5">
        <f>FirstRuns!G4+SecondRuns!G4</f>
        <v>0</v>
      </c>
      <c r="I5">
        <f>FirstRuns!H4+SecondRuns!H4</f>
        <v>0</v>
      </c>
      <c r="J5">
        <f>FirstRuns!I4+SecondRuns!I4</f>
        <v>0</v>
      </c>
      <c r="K5">
        <f>FirstRuns!J4+SecondRuns!J4</f>
        <v>0</v>
      </c>
      <c r="L5">
        <f>FirstRuns!K4+SecondRuns!K4</f>
        <v>0</v>
      </c>
      <c r="M5">
        <f t="shared" si="2"/>
        <v>0</v>
      </c>
      <c r="N5">
        <f t="shared" si="3"/>
        <v>0</v>
      </c>
      <c r="O5">
        <f t="shared" si="4"/>
        <v>0</v>
      </c>
      <c r="P5" s="2" t="e">
        <f t="shared" si="5"/>
        <v>#DIV/0!</v>
      </c>
      <c r="Q5" s="2" t="e">
        <f t="shared" si="6"/>
        <v>#DIV/0!</v>
      </c>
      <c r="R5" s="2" t="e">
        <f t="shared" si="7"/>
        <v>#DIV/0!</v>
      </c>
      <c r="S5">
        <f t="shared" si="8"/>
        <v>0</v>
      </c>
      <c r="T5">
        <f t="shared" si="9"/>
        <v>0</v>
      </c>
      <c r="U5">
        <f t="shared" si="10"/>
        <v>0</v>
      </c>
      <c r="V5">
        <f t="shared" si="11"/>
        <v>0</v>
      </c>
      <c r="W5">
        <f t="shared" si="12"/>
        <v>0</v>
      </c>
      <c r="X5">
        <f t="shared" si="13"/>
        <v>0</v>
      </c>
      <c r="Y5" t="e">
        <f t="shared" si="14"/>
        <v>#DIV/0!</v>
      </c>
      <c r="Z5" t="e">
        <f t="shared" si="15"/>
        <v>#DIV/0!</v>
      </c>
      <c r="AB5" t="e">
        <f t="shared" si="16"/>
        <v>#DIV/0!</v>
      </c>
      <c r="AC5" t="e">
        <f t="shared" si="17"/>
        <v>#DIV/0!</v>
      </c>
      <c r="AE5">
        <f t="shared" si="18"/>
        <v>0</v>
      </c>
    </row>
    <row r="6" spans="1:31" x14ac:dyDescent="0.25">
      <c r="A6">
        <f>FirstRuns!A5</f>
        <v>0</v>
      </c>
      <c r="B6">
        <f>SecondRuns!A5</f>
        <v>0</v>
      </c>
      <c r="C6">
        <f>FirstRuns!B5+SecondRuns!B5</f>
        <v>0</v>
      </c>
      <c r="D6">
        <f>FirstRuns!C5+SecondRuns!C5</f>
        <v>0</v>
      </c>
      <c r="E6">
        <f>FirstRuns!D5+SecondRuns!D5</f>
        <v>0</v>
      </c>
      <c r="F6">
        <f>FirstRuns!E5+SecondRuns!E5</f>
        <v>0</v>
      </c>
      <c r="G6">
        <f>FirstRuns!F5+SecondRuns!F5</f>
        <v>0</v>
      </c>
      <c r="H6">
        <f>FirstRuns!G5+SecondRuns!G5</f>
        <v>0</v>
      </c>
      <c r="I6">
        <f>FirstRuns!H5+SecondRuns!H5</f>
        <v>0</v>
      </c>
      <c r="J6">
        <f>FirstRuns!I5+SecondRuns!I5</f>
        <v>0</v>
      </c>
      <c r="K6">
        <f>FirstRuns!J5+SecondRuns!J5</f>
        <v>0</v>
      </c>
      <c r="L6">
        <f>FirstRuns!K5+SecondRuns!K5</f>
        <v>0</v>
      </c>
      <c r="M6">
        <f t="shared" si="2"/>
        <v>0</v>
      </c>
      <c r="N6">
        <f t="shared" si="3"/>
        <v>0</v>
      </c>
      <c r="O6">
        <f t="shared" si="4"/>
        <v>0</v>
      </c>
      <c r="P6" s="2" t="e">
        <f t="shared" si="5"/>
        <v>#DIV/0!</v>
      </c>
      <c r="Q6" s="2" t="e">
        <f t="shared" si="6"/>
        <v>#DIV/0!</v>
      </c>
      <c r="R6" s="2" t="e">
        <f t="shared" si="7"/>
        <v>#DIV/0!</v>
      </c>
      <c r="S6">
        <f t="shared" si="8"/>
        <v>0</v>
      </c>
      <c r="T6">
        <f t="shared" si="9"/>
        <v>0</v>
      </c>
      <c r="U6">
        <f t="shared" si="10"/>
        <v>0</v>
      </c>
      <c r="V6">
        <f t="shared" si="11"/>
        <v>0</v>
      </c>
      <c r="W6">
        <f t="shared" si="12"/>
        <v>0</v>
      </c>
      <c r="X6">
        <f t="shared" si="13"/>
        <v>0</v>
      </c>
      <c r="Y6" t="e">
        <f t="shared" si="14"/>
        <v>#DIV/0!</v>
      </c>
      <c r="Z6" t="e">
        <f t="shared" si="15"/>
        <v>#DIV/0!</v>
      </c>
      <c r="AB6" t="e">
        <f t="shared" si="16"/>
        <v>#DIV/0!</v>
      </c>
      <c r="AC6" t="e">
        <f t="shared" si="17"/>
        <v>#DIV/0!</v>
      </c>
      <c r="AE6">
        <f t="shared" si="18"/>
        <v>0</v>
      </c>
    </row>
    <row r="7" spans="1:31" x14ac:dyDescent="0.25">
      <c r="A7">
        <f>FirstRuns!A6</f>
        <v>0</v>
      </c>
      <c r="B7">
        <f>SecondRuns!A6</f>
        <v>0</v>
      </c>
      <c r="C7">
        <f>FirstRuns!B6+SecondRuns!B6</f>
        <v>0</v>
      </c>
      <c r="D7">
        <f>FirstRuns!C6+SecondRuns!C6</f>
        <v>0</v>
      </c>
      <c r="E7">
        <f>FirstRuns!D6+SecondRuns!D6</f>
        <v>0</v>
      </c>
      <c r="F7">
        <f>FirstRuns!E6+SecondRuns!E6</f>
        <v>0</v>
      </c>
      <c r="G7">
        <f>FirstRuns!F6+SecondRuns!F6</f>
        <v>0</v>
      </c>
      <c r="H7">
        <f>FirstRuns!G6+SecondRuns!G6</f>
        <v>0</v>
      </c>
      <c r="I7">
        <f>FirstRuns!H6+SecondRuns!H6</f>
        <v>0</v>
      </c>
      <c r="J7">
        <f>FirstRuns!I6+SecondRuns!I6</f>
        <v>0</v>
      </c>
      <c r="K7">
        <f>FirstRuns!J6+SecondRuns!J6</f>
        <v>0</v>
      </c>
      <c r="L7">
        <f>FirstRuns!K6+SecondRuns!K6</f>
        <v>0</v>
      </c>
      <c r="M7">
        <f t="shared" si="2"/>
        <v>0</v>
      </c>
      <c r="N7">
        <f t="shared" si="3"/>
        <v>0</v>
      </c>
      <c r="O7">
        <f t="shared" si="4"/>
        <v>0</v>
      </c>
      <c r="P7" s="2" t="e">
        <f t="shared" si="5"/>
        <v>#DIV/0!</v>
      </c>
      <c r="Q7" s="2" t="e">
        <f t="shared" si="6"/>
        <v>#DIV/0!</v>
      </c>
      <c r="R7" s="2" t="e">
        <f t="shared" si="7"/>
        <v>#DIV/0!</v>
      </c>
      <c r="S7">
        <f t="shared" si="8"/>
        <v>0</v>
      </c>
      <c r="T7">
        <f t="shared" si="9"/>
        <v>0</v>
      </c>
      <c r="U7">
        <f t="shared" si="10"/>
        <v>0</v>
      </c>
      <c r="V7">
        <f t="shared" si="11"/>
        <v>0</v>
      </c>
      <c r="W7">
        <f t="shared" si="12"/>
        <v>0</v>
      </c>
      <c r="X7">
        <f t="shared" si="13"/>
        <v>0</v>
      </c>
      <c r="Y7" t="e">
        <f t="shared" si="14"/>
        <v>#DIV/0!</v>
      </c>
      <c r="Z7" t="e">
        <f t="shared" si="15"/>
        <v>#DIV/0!</v>
      </c>
      <c r="AB7" t="e">
        <f t="shared" si="16"/>
        <v>#DIV/0!</v>
      </c>
      <c r="AC7" t="e">
        <f t="shared" si="17"/>
        <v>#DIV/0!</v>
      </c>
      <c r="AE7">
        <f t="shared" si="18"/>
        <v>0</v>
      </c>
    </row>
    <row r="8" spans="1:31" x14ac:dyDescent="0.25">
      <c r="A8">
        <f>FirstRuns!A7</f>
        <v>0</v>
      </c>
      <c r="B8">
        <f>SecondRuns!A7</f>
        <v>0</v>
      </c>
      <c r="C8">
        <f>FirstRuns!B7+SecondRuns!B7</f>
        <v>0</v>
      </c>
      <c r="D8">
        <f>FirstRuns!C7+SecondRuns!C7</f>
        <v>0</v>
      </c>
      <c r="E8">
        <f>FirstRuns!D7+SecondRuns!D7</f>
        <v>0</v>
      </c>
      <c r="F8">
        <f>FirstRuns!E7+SecondRuns!E7</f>
        <v>0</v>
      </c>
      <c r="G8">
        <f>FirstRuns!F7+SecondRuns!F7</f>
        <v>0</v>
      </c>
      <c r="H8">
        <f>FirstRuns!G7+SecondRuns!G7</f>
        <v>0</v>
      </c>
      <c r="I8">
        <f>FirstRuns!H7+SecondRuns!H7</f>
        <v>0</v>
      </c>
      <c r="J8">
        <f>FirstRuns!I7+SecondRuns!I7</f>
        <v>0</v>
      </c>
      <c r="K8">
        <f>FirstRuns!J7+SecondRuns!J7</f>
        <v>0</v>
      </c>
      <c r="L8">
        <f>FirstRuns!K7+SecondRuns!K7</f>
        <v>0</v>
      </c>
      <c r="M8">
        <f t="shared" si="2"/>
        <v>0</v>
      </c>
      <c r="N8">
        <f t="shared" si="3"/>
        <v>0</v>
      </c>
      <c r="O8">
        <f t="shared" si="4"/>
        <v>0</v>
      </c>
      <c r="P8" s="2" t="e">
        <f t="shared" si="5"/>
        <v>#DIV/0!</v>
      </c>
      <c r="Q8" s="2" t="e">
        <f t="shared" si="6"/>
        <v>#DIV/0!</v>
      </c>
      <c r="R8" s="2" t="e">
        <f t="shared" si="7"/>
        <v>#DIV/0!</v>
      </c>
      <c r="S8">
        <f t="shared" si="8"/>
        <v>0</v>
      </c>
      <c r="T8">
        <f t="shared" si="9"/>
        <v>0</v>
      </c>
      <c r="U8">
        <f t="shared" si="10"/>
        <v>0</v>
      </c>
      <c r="V8">
        <f t="shared" si="11"/>
        <v>0</v>
      </c>
      <c r="W8">
        <f t="shared" si="12"/>
        <v>0</v>
      </c>
      <c r="X8">
        <f t="shared" si="13"/>
        <v>0</v>
      </c>
      <c r="Y8" t="e">
        <f t="shared" si="14"/>
        <v>#DIV/0!</v>
      </c>
      <c r="Z8" t="e">
        <f t="shared" si="15"/>
        <v>#DIV/0!</v>
      </c>
      <c r="AB8" t="e">
        <f t="shared" si="16"/>
        <v>#DIV/0!</v>
      </c>
      <c r="AC8" t="e">
        <f t="shared" si="17"/>
        <v>#DIV/0!</v>
      </c>
      <c r="AE8">
        <f t="shared" si="18"/>
        <v>0</v>
      </c>
    </row>
    <row r="9" spans="1:31" x14ac:dyDescent="0.25">
      <c r="A9">
        <f>FirstRuns!A8</f>
        <v>0</v>
      </c>
      <c r="B9">
        <f>SecondRuns!A8</f>
        <v>0</v>
      </c>
      <c r="C9">
        <f>FirstRuns!B8+SecondRuns!B8</f>
        <v>0</v>
      </c>
      <c r="D9">
        <f>FirstRuns!C8+SecondRuns!C8</f>
        <v>0</v>
      </c>
      <c r="E9">
        <f>FirstRuns!D8+SecondRuns!D8</f>
        <v>0</v>
      </c>
      <c r="F9">
        <f>FirstRuns!E8+SecondRuns!E8</f>
        <v>0</v>
      </c>
      <c r="G9">
        <f>FirstRuns!F8+SecondRuns!F8</f>
        <v>0</v>
      </c>
      <c r="H9">
        <f>FirstRuns!G8+SecondRuns!G8</f>
        <v>0</v>
      </c>
      <c r="I9">
        <f>FirstRuns!H8+SecondRuns!H8</f>
        <v>0</v>
      </c>
      <c r="J9">
        <f>FirstRuns!I8+SecondRuns!I8</f>
        <v>0</v>
      </c>
      <c r="K9">
        <f>FirstRuns!J8+SecondRuns!J8</f>
        <v>0</v>
      </c>
      <c r="L9">
        <f>FirstRuns!K8+SecondRuns!K8</f>
        <v>0</v>
      </c>
      <c r="M9">
        <f t="shared" si="2"/>
        <v>0</v>
      </c>
      <c r="N9">
        <f t="shared" si="3"/>
        <v>0</v>
      </c>
      <c r="O9">
        <f t="shared" si="4"/>
        <v>0</v>
      </c>
      <c r="P9" s="2" t="e">
        <f t="shared" si="5"/>
        <v>#DIV/0!</v>
      </c>
      <c r="Q9" s="2" t="e">
        <f t="shared" si="6"/>
        <v>#DIV/0!</v>
      </c>
      <c r="R9" s="2" t="e">
        <f t="shared" si="7"/>
        <v>#DIV/0!</v>
      </c>
      <c r="S9">
        <f t="shared" si="8"/>
        <v>0</v>
      </c>
      <c r="T9">
        <f t="shared" si="9"/>
        <v>0</v>
      </c>
      <c r="U9">
        <f t="shared" si="10"/>
        <v>0</v>
      </c>
      <c r="V9">
        <f t="shared" si="11"/>
        <v>0</v>
      </c>
      <c r="W9">
        <f t="shared" si="12"/>
        <v>0</v>
      </c>
      <c r="X9">
        <f t="shared" si="13"/>
        <v>0</v>
      </c>
      <c r="Y9" t="e">
        <f t="shared" si="14"/>
        <v>#DIV/0!</v>
      </c>
      <c r="Z9" t="e">
        <f t="shared" si="15"/>
        <v>#DIV/0!</v>
      </c>
      <c r="AB9" t="e">
        <f t="shared" si="16"/>
        <v>#DIV/0!</v>
      </c>
      <c r="AC9" t="e">
        <f t="shared" si="17"/>
        <v>#DIV/0!</v>
      </c>
      <c r="AE9">
        <f t="shared" si="18"/>
        <v>0</v>
      </c>
    </row>
    <row r="10" spans="1:31" x14ac:dyDescent="0.25">
      <c r="A10">
        <f>FirstRuns!A9</f>
        <v>0</v>
      </c>
      <c r="B10">
        <f>SecondRuns!A9</f>
        <v>0</v>
      </c>
      <c r="C10">
        <f>FirstRuns!B9+SecondRuns!B9</f>
        <v>0</v>
      </c>
      <c r="D10">
        <f>FirstRuns!C9+SecondRuns!C9</f>
        <v>0</v>
      </c>
      <c r="E10">
        <f>FirstRuns!D9+SecondRuns!D9</f>
        <v>0</v>
      </c>
      <c r="F10">
        <f>FirstRuns!E9+SecondRuns!E9</f>
        <v>0</v>
      </c>
      <c r="G10">
        <f>FirstRuns!F9+SecondRuns!F9</f>
        <v>0</v>
      </c>
      <c r="H10">
        <f>FirstRuns!G9+SecondRuns!G9</f>
        <v>0</v>
      </c>
      <c r="I10">
        <f>FirstRuns!H9+SecondRuns!H9</f>
        <v>0</v>
      </c>
      <c r="J10">
        <f>FirstRuns!I9+SecondRuns!I9</f>
        <v>0</v>
      </c>
      <c r="K10">
        <f>FirstRuns!J9+SecondRuns!J9</f>
        <v>0</v>
      </c>
      <c r="L10">
        <f>FirstRuns!K9+SecondRuns!K9</f>
        <v>0</v>
      </c>
      <c r="M10">
        <f t="shared" ref="M10:M14" si="19">SUM(I10:J10)</f>
        <v>0</v>
      </c>
      <c r="N10">
        <f t="shared" ref="N10:N14" si="20">SUM(G10,J10)</f>
        <v>0</v>
      </c>
      <c r="O10">
        <f t="shared" ref="O10:O14" si="21">SUM(G10:J10)</f>
        <v>0</v>
      </c>
      <c r="P10" s="2" t="e">
        <f t="shared" ref="P10:P14" si="22">S10/O10</f>
        <v>#DIV/0!</v>
      </c>
      <c r="Q10" s="2" t="e">
        <f t="shared" ref="Q10:Q14" si="23">U10/O10</f>
        <v>#DIV/0!</v>
      </c>
      <c r="R10" s="2" t="e">
        <f t="shared" ref="R10:R14" si="24">SUM(E10:F10)/SUM(C10:J10)</f>
        <v>#DIV/0!</v>
      </c>
      <c r="S10">
        <f t="shared" ref="S10:S14" si="25">M10</f>
        <v>0</v>
      </c>
      <c r="T10">
        <f t="shared" ref="T10:T14" si="26">O10-S10</f>
        <v>0</v>
      </c>
      <c r="U10">
        <f t="shared" ref="U10:U14" si="27">N10</f>
        <v>0</v>
      </c>
      <c r="V10">
        <f t="shared" ref="V10:V14" si="28">O10-U10</f>
        <v>0</v>
      </c>
      <c r="W10">
        <f t="shared" ref="W10:W14" si="29">O10/2</f>
        <v>0</v>
      </c>
      <c r="X10">
        <f t="shared" ref="X10:X14" si="30">W10</f>
        <v>0</v>
      </c>
      <c r="Y10" t="e">
        <f t="shared" ref="Y10:Y14" si="31">_xlfn.CHISQ.TEST(S10:T10,W10:X10)</f>
        <v>#DIV/0!</v>
      </c>
      <c r="Z10" t="e">
        <f t="shared" ref="Z10:Z14" si="32">_xlfn.CHISQ.TEST(U10:V10,W10:X10)</f>
        <v>#DIV/0!</v>
      </c>
      <c r="AB10" t="e">
        <f t="shared" ref="AB10:AB14" si="33">Y10 &gt;$AA$2</f>
        <v>#DIV/0!</v>
      </c>
      <c r="AC10" t="e">
        <f t="shared" ref="AC10:AC14" si="34">Z10 &gt;$AA$2</f>
        <v>#DIV/0!</v>
      </c>
      <c r="AE10">
        <f t="shared" ref="AE10:AE14" si="35">SUM(B10:J10)</f>
        <v>0</v>
      </c>
    </row>
    <row r="11" spans="1:31" x14ac:dyDescent="0.25">
      <c r="A11">
        <f>FirstRuns!A10</f>
        <v>0</v>
      </c>
      <c r="B11">
        <f>SecondRuns!A10</f>
        <v>0</v>
      </c>
      <c r="C11">
        <f>FirstRuns!B10+SecondRuns!B10</f>
        <v>0</v>
      </c>
      <c r="D11">
        <f>FirstRuns!C10+SecondRuns!C10</f>
        <v>0</v>
      </c>
      <c r="E11">
        <f>FirstRuns!D10+SecondRuns!D10</f>
        <v>0</v>
      </c>
      <c r="F11">
        <f>FirstRuns!E10+SecondRuns!E10</f>
        <v>0</v>
      </c>
      <c r="G11">
        <f>FirstRuns!F10+SecondRuns!F10</f>
        <v>0</v>
      </c>
      <c r="H11">
        <f>FirstRuns!G10+SecondRuns!G10</f>
        <v>0</v>
      </c>
      <c r="I11">
        <f>FirstRuns!H10+SecondRuns!H10</f>
        <v>0</v>
      </c>
      <c r="J11">
        <f>FirstRuns!I10+SecondRuns!I10</f>
        <v>0</v>
      </c>
      <c r="K11">
        <f>FirstRuns!J10+SecondRuns!J10</f>
        <v>0</v>
      </c>
      <c r="L11">
        <f>FirstRuns!K10+SecondRuns!K10</f>
        <v>0</v>
      </c>
      <c r="M11">
        <f t="shared" si="19"/>
        <v>0</v>
      </c>
      <c r="N11">
        <f t="shared" si="20"/>
        <v>0</v>
      </c>
      <c r="O11">
        <f t="shared" si="21"/>
        <v>0</v>
      </c>
      <c r="P11" s="2" t="e">
        <f t="shared" si="22"/>
        <v>#DIV/0!</v>
      </c>
      <c r="Q11" s="2" t="e">
        <f t="shared" si="23"/>
        <v>#DIV/0!</v>
      </c>
      <c r="R11" s="2" t="e">
        <f t="shared" si="24"/>
        <v>#DIV/0!</v>
      </c>
      <c r="S11">
        <f t="shared" si="25"/>
        <v>0</v>
      </c>
      <c r="T11">
        <f t="shared" si="26"/>
        <v>0</v>
      </c>
      <c r="U11">
        <f t="shared" si="27"/>
        <v>0</v>
      </c>
      <c r="V11">
        <f t="shared" si="28"/>
        <v>0</v>
      </c>
      <c r="W11">
        <f t="shared" si="29"/>
        <v>0</v>
      </c>
      <c r="X11">
        <f t="shared" si="30"/>
        <v>0</v>
      </c>
      <c r="Y11" t="e">
        <f t="shared" si="31"/>
        <v>#DIV/0!</v>
      </c>
      <c r="Z11" t="e">
        <f t="shared" si="32"/>
        <v>#DIV/0!</v>
      </c>
      <c r="AB11" t="e">
        <f t="shared" si="33"/>
        <v>#DIV/0!</v>
      </c>
      <c r="AC11" t="e">
        <f t="shared" si="34"/>
        <v>#DIV/0!</v>
      </c>
      <c r="AE11">
        <f t="shared" si="35"/>
        <v>0</v>
      </c>
    </row>
    <row r="12" spans="1:31" x14ac:dyDescent="0.25">
      <c r="A12">
        <f>FirstRuns!A11</f>
        <v>0</v>
      </c>
      <c r="B12">
        <f>SecondRuns!A11</f>
        <v>0</v>
      </c>
      <c r="C12">
        <f>FirstRuns!B11+SecondRuns!B11</f>
        <v>0</v>
      </c>
      <c r="D12">
        <f>FirstRuns!C11+SecondRuns!C11</f>
        <v>0</v>
      </c>
      <c r="E12">
        <f>FirstRuns!D11+SecondRuns!D11</f>
        <v>0</v>
      </c>
      <c r="F12">
        <f>FirstRuns!E11+SecondRuns!E11</f>
        <v>0</v>
      </c>
      <c r="G12">
        <f>FirstRuns!F11+SecondRuns!F11</f>
        <v>0</v>
      </c>
      <c r="H12">
        <f>FirstRuns!G11+SecondRuns!G11</f>
        <v>0</v>
      </c>
      <c r="I12">
        <f>FirstRuns!H11+SecondRuns!H11</f>
        <v>0</v>
      </c>
      <c r="J12">
        <f>FirstRuns!I11+SecondRuns!I11</f>
        <v>0</v>
      </c>
      <c r="K12">
        <f>FirstRuns!J11+SecondRuns!J11</f>
        <v>0</v>
      </c>
      <c r="L12">
        <f>FirstRuns!K11+SecondRuns!K11</f>
        <v>0</v>
      </c>
      <c r="M12">
        <f t="shared" si="19"/>
        <v>0</v>
      </c>
      <c r="N12">
        <f t="shared" si="20"/>
        <v>0</v>
      </c>
      <c r="O12">
        <f t="shared" si="21"/>
        <v>0</v>
      </c>
      <c r="P12" s="2" t="e">
        <f t="shared" si="22"/>
        <v>#DIV/0!</v>
      </c>
      <c r="Q12" s="2" t="e">
        <f t="shared" si="23"/>
        <v>#DIV/0!</v>
      </c>
      <c r="R12" s="2" t="e">
        <f t="shared" si="24"/>
        <v>#DIV/0!</v>
      </c>
      <c r="S12">
        <f t="shared" si="25"/>
        <v>0</v>
      </c>
      <c r="T12">
        <f t="shared" si="26"/>
        <v>0</v>
      </c>
      <c r="U12">
        <f t="shared" si="27"/>
        <v>0</v>
      </c>
      <c r="V12">
        <f t="shared" si="28"/>
        <v>0</v>
      </c>
      <c r="W12">
        <f t="shared" si="29"/>
        <v>0</v>
      </c>
      <c r="X12">
        <f t="shared" si="30"/>
        <v>0</v>
      </c>
      <c r="Y12" t="e">
        <f t="shared" si="31"/>
        <v>#DIV/0!</v>
      </c>
      <c r="Z12" t="e">
        <f t="shared" si="32"/>
        <v>#DIV/0!</v>
      </c>
      <c r="AB12" t="e">
        <f t="shared" si="33"/>
        <v>#DIV/0!</v>
      </c>
      <c r="AC12" t="e">
        <f t="shared" si="34"/>
        <v>#DIV/0!</v>
      </c>
      <c r="AE12">
        <f t="shared" si="35"/>
        <v>0</v>
      </c>
    </row>
    <row r="13" spans="1:31" x14ac:dyDescent="0.25">
      <c r="A13">
        <f>FirstRuns!A12</f>
        <v>0</v>
      </c>
      <c r="B13">
        <f>SecondRuns!A12</f>
        <v>0</v>
      </c>
      <c r="C13">
        <f>FirstRuns!B12+SecondRuns!B12</f>
        <v>0</v>
      </c>
      <c r="D13">
        <f>FirstRuns!C12+SecondRuns!C12</f>
        <v>0</v>
      </c>
      <c r="E13">
        <f>FirstRuns!D12+SecondRuns!D12</f>
        <v>0</v>
      </c>
      <c r="F13">
        <f>FirstRuns!E12+SecondRuns!E12</f>
        <v>0</v>
      </c>
      <c r="G13">
        <f>FirstRuns!F12+SecondRuns!F12</f>
        <v>0</v>
      </c>
      <c r="H13">
        <f>FirstRuns!G12+SecondRuns!G12</f>
        <v>0</v>
      </c>
      <c r="I13">
        <f>FirstRuns!H12+SecondRuns!H12</f>
        <v>0</v>
      </c>
      <c r="J13">
        <f>FirstRuns!I12+SecondRuns!I12</f>
        <v>0</v>
      </c>
      <c r="K13">
        <f>FirstRuns!J12+SecondRuns!J12</f>
        <v>0</v>
      </c>
      <c r="L13">
        <f>FirstRuns!K12+SecondRuns!K12</f>
        <v>0</v>
      </c>
      <c r="M13">
        <f t="shared" si="19"/>
        <v>0</v>
      </c>
      <c r="N13">
        <f t="shared" si="20"/>
        <v>0</v>
      </c>
      <c r="O13">
        <f t="shared" si="21"/>
        <v>0</v>
      </c>
      <c r="P13" s="2" t="e">
        <f t="shared" si="22"/>
        <v>#DIV/0!</v>
      </c>
      <c r="Q13" s="2" t="e">
        <f t="shared" si="23"/>
        <v>#DIV/0!</v>
      </c>
      <c r="R13" s="2" t="e">
        <f t="shared" si="24"/>
        <v>#DIV/0!</v>
      </c>
      <c r="S13">
        <f t="shared" si="25"/>
        <v>0</v>
      </c>
      <c r="T13">
        <f t="shared" si="26"/>
        <v>0</v>
      </c>
      <c r="U13">
        <f t="shared" si="27"/>
        <v>0</v>
      </c>
      <c r="V13">
        <f t="shared" si="28"/>
        <v>0</v>
      </c>
      <c r="W13">
        <f t="shared" si="29"/>
        <v>0</v>
      </c>
      <c r="X13">
        <f t="shared" si="30"/>
        <v>0</v>
      </c>
      <c r="Y13" t="e">
        <f t="shared" si="31"/>
        <v>#DIV/0!</v>
      </c>
      <c r="Z13" t="e">
        <f t="shared" si="32"/>
        <v>#DIV/0!</v>
      </c>
      <c r="AB13" t="e">
        <f t="shared" si="33"/>
        <v>#DIV/0!</v>
      </c>
      <c r="AC13" t="e">
        <f t="shared" si="34"/>
        <v>#DIV/0!</v>
      </c>
      <c r="AE13">
        <f t="shared" si="35"/>
        <v>0</v>
      </c>
    </row>
    <row r="14" spans="1:31" x14ac:dyDescent="0.25">
      <c r="A14">
        <f>FirstRuns!A13</f>
        <v>0</v>
      </c>
      <c r="B14">
        <f>SecondRuns!A13</f>
        <v>0</v>
      </c>
      <c r="C14">
        <f>FirstRuns!B13+SecondRuns!B13</f>
        <v>0</v>
      </c>
      <c r="D14">
        <f>FirstRuns!C13+SecondRuns!C13</f>
        <v>0</v>
      </c>
      <c r="E14">
        <f>FirstRuns!D13+SecondRuns!D13</f>
        <v>0</v>
      </c>
      <c r="F14">
        <f>FirstRuns!E13+SecondRuns!E13</f>
        <v>0</v>
      </c>
      <c r="G14">
        <f>FirstRuns!F13+SecondRuns!F13</f>
        <v>0</v>
      </c>
      <c r="H14">
        <f>FirstRuns!G13+SecondRuns!G13</f>
        <v>0</v>
      </c>
      <c r="I14">
        <f>FirstRuns!H13+SecondRuns!H13</f>
        <v>0</v>
      </c>
      <c r="J14">
        <f>FirstRuns!I13+SecondRuns!I13</f>
        <v>0</v>
      </c>
      <c r="K14">
        <f>FirstRuns!J13+SecondRuns!J13</f>
        <v>0</v>
      </c>
      <c r="L14">
        <f>FirstRuns!K13+SecondRuns!K13</f>
        <v>0</v>
      </c>
      <c r="M14">
        <f t="shared" si="19"/>
        <v>0</v>
      </c>
      <c r="N14">
        <f t="shared" si="20"/>
        <v>0</v>
      </c>
      <c r="O14">
        <f t="shared" si="21"/>
        <v>0</v>
      </c>
      <c r="P14" s="2" t="e">
        <f t="shared" si="22"/>
        <v>#DIV/0!</v>
      </c>
      <c r="Q14" s="2" t="e">
        <f t="shared" si="23"/>
        <v>#DIV/0!</v>
      </c>
      <c r="R14" s="2" t="e">
        <f t="shared" si="24"/>
        <v>#DIV/0!</v>
      </c>
      <c r="S14">
        <f t="shared" si="25"/>
        <v>0</v>
      </c>
      <c r="T14">
        <f t="shared" si="26"/>
        <v>0</v>
      </c>
      <c r="U14">
        <f t="shared" si="27"/>
        <v>0</v>
      </c>
      <c r="V14">
        <f t="shared" si="28"/>
        <v>0</v>
      </c>
      <c r="W14">
        <f t="shared" si="29"/>
        <v>0</v>
      </c>
      <c r="X14">
        <f t="shared" si="30"/>
        <v>0</v>
      </c>
      <c r="Y14" t="e">
        <f t="shared" si="31"/>
        <v>#DIV/0!</v>
      </c>
      <c r="Z14" t="e">
        <f t="shared" si="32"/>
        <v>#DIV/0!</v>
      </c>
      <c r="AB14" t="e">
        <f t="shared" si="33"/>
        <v>#DIV/0!</v>
      </c>
      <c r="AC14" t="e">
        <f t="shared" si="34"/>
        <v>#DIV/0!</v>
      </c>
      <c r="AE14">
        <f t="shared" si="35"/>
        <v>0</v>
      </c>
    </row>
    <row r="15" spans="1:31" x14ac:dyDescent="0.25">
      <c r="A15">
        <f>FirstRuns!A14</f>
        <v>0</v>
      </c>
      <c r="B15">
        <f>SecondRuns!A14</f>
        <v>0</v>
      </c>
      <c r="C15">
        <f>FirstRuns!B14+SecondRuns!B14</f>
        <v>0</v>
      </c>
      <c r="D15">
        <f>FirstRuns!C14+SecondRuns!C14</f>
        <v>0</v>
      </c>
      <c r="E15">
        <f>FirstRuns!D14+SecondRuns!D14</f>
        <v>0</v>
      </c>
      <c r="F15">
        <f>FirstRuns!E14+SecondRuns!E14</f>
        <v>0</v>
      </c>
      <c r="G15">
        <f>FirstRuns!F14+SecondRuns!F14</f>
        <v>0</v>
      </c>
      <c r="H15">
        <f>FirstRuns!G14+SecondRuns!G14</f>
        <v>0</v>
      </c>
      <c r="I15">
        <f>FirstRuns!H14+SecondRuns!H14</f>
        <v>0</v>
      </c>
      <c r="J15">
        <f>FirstRuns!I14+SecondRuns!I14</f>
        <v>0</v>
      </c>
      <c r="K15">
        <f>FirstRuns!J14+SecondRuns!J14</f>
        <v>0</v>
      </c>
      <c r="L15">
        <f>FirstRuns!K14+SecondRuns!K14</f>
        <v>0</v>
      </c>
      <c r="M15">
        <f t="shared" si="2"/>
        <v>0</v>
      </c>
      <c r="N15">
        <f t="shared" si="3"/>
        <v>0</v>
      </c>
      <c r="O15">
        <f t="shared" si="4"/>
        <v>0</v>
      </c>
      <c r="P15" s="2" t="e">
        <f t="shared" si="5"/>
        <v>#DIV/0!</v>
      </c>
      <c r="Q15" s="2" t="e">
        <f t="shared" si="6"/>
        <v>#DIV/0!</v>
      </c>
      <c r="R15" s="2" t="e">
        <f t="shared" si="7"/>
        <v>#DIV/0!</v>
      </c>
      <c r="S15">
        <f t="shared" si="8"/>
        <v>0</v>
      </c>
      <c r="T15">
        <f t="shared" si="9"/>
        <v>0</v>
      </c>
      <c r="U15">
        <f t="shared" si="10"/>
        <v>0</v>
      </c>
      <c r="V15">
        <f t="shared" si="11"/>
        <v>0</v>
      </c>
      <c r="W15">
        <f t="shared" si="12"/>
        <v>0</v>
      </c>
      <c r="X15">
        <f t="shared" si="13"/>
        <v>0</v>
      </c>
      <c r="Y15" t="e">
        <f t="shared" si="14"/>
        <v>#DIV/0!</v>
      </c>
      <c r="Z15" t="e">
        <f t="shared" si="15"/>
        <v>#DIV/0!</v>
      </c>
      <c r="AB15" t="e">
        <f t="shared" si="16"/>
        <v>#DIV/0!</v>
      </c>
      <c r="AC15" t="e">
        <f t="shared" si="17"/>
        <v>#DIV/0!</v>
      </c>
      <c r="AE15">
        <f t="shared" si="18"/>
        <v>0</v>
      </c>
    </row>
    <row r="16" spans="1:31" x14ac:dyDescent="0.25">
      <c r="A16">
        <f>FirstRuns!A15</f>
        <v>0</v>
      </c>
      <c r="B16">
        <f>SecondRuns!A15</f>
        <v>0</v>
      </c>
      <c r="C16">
        <f>FirstRuns!B15+SecondRuns!B15</f>
        <v>0</v>
      </c>
      <c r="D16">
        <f>FirstRuns!C15+SecondRuns!C15</f>
        <v>0</v>
      </c>
      <c r="E16">
        <f>FirstRuns!D15+SecondRuns!D15</f>
        <v>0</v>
      </c>
      <c r="F16">
        <f>FirstRuns!E15+SecondRuns!E15</f>
        <v>0</v>
      </c>
      <c r="G16">
        <f>FirstRuns!F15+SecondRuns!F15</f>
        <v>0</v>
      </c>
      <c r="H16">
        <f>FirstRuns!G15+SecondRuns!G15</f>
        <v>0</v>
      </c>
      <c r="I16">
        <f>FirstRuns!H15+SecondRuns!H15</f>
        <v>0</v>
      </c>
      <c r="J16">
        <f>FirstRuns!I15+SecondRuns!I15</f>
        <v>0</v>
      </c>
      <c r="K16">
        <f>FirstRuns!J15+SecondRuns!J15</f>
        <v>0</v>
      </c>
      <c r="L16">
        <f>FirstRuns!K15+SecondRuns!K15</f>
        <v>0</v>
      </c>
      <c r="M16">
        <f t="shared" si="2"/>
        <v>0</v>
      </c>
      <c r="N16">
        <f t="shared" si="3"/>
        <v>0</v>
      </c>
      <c r="O16">
        <f t="shared" si="4"/>
        <v>0</v>
      </c>
      <c r="P16" s="2" t="e">
        <f t="shared" si="5"/>
        <v>#DIV/0!</v>
      </c>
      <c r="Q16" s="2" t="e">
        <f t="shared" si="6"/>
        <v>#DIV/0!</v>
      </c>
      <c r="R16" s="2" t="e">
        <f t="shared" si="7"/>
        <v>#DIV/0!</v>
      </c>
      <c r="S16">
        <f t="shared" si="8"/>
        <v>0</v>
      </c>
      <c r="T16">
        <f t="shared" si="9"/>
        <v>0</v>
      </c>
      <c r="U16">
        <f t="shared" si="10"/>
        <v>0</v>
      </c>
      <c r="V16">
        <f t="shared" si="11"/>
        <v>0</v>
      </c>
      <c r="W16">
        <f t="shared" si="12"/>
        <v>0</v>
      </c>
      <c r="X16">
        <f t="shared" si="13"/>
        <v>0</v>
      </c>
      <c r="Y16" t="e">
        <f t="shared" si="14"/>
        <v>#DIV/0!</v>
      </c>
      <c r="Z16" t="e">
        <f t="shared" si="15"/>
        <v>#DIV/0!</v>
      </c>
      <c r="AB16" t="e">
        <f t="shared" si="16"/>
        <v>#DIV/0!</v>
      </c>
      <c r="AC16" t="e">
        <f t="shared" si="17"/>
        <v>#DIV/0!</v>
      </c>
      <c r="AE16">
        <f t="shared" si="18"/>
        <v>0</v>
      </c>
    </row>
    <row r="17" spans="1:31" x14ac:dyDescent="0.25">
      <c r="A17">
        <f>FirstRuns!A16</f>
        <v>0</v>
      </c>
      <c r="B17">
        <f>SecondRuns!A16</f>
        <v>0</v>
      </c>
      <c r="C17">
        <f>FirstRuns!B16+SecondRuns!B16</f>
        <v>0</v>
      </c>
      <c r="D17">
        <f>FirstRuns!C16+SecondRuns!C16</f>
        <v>0</v>
      </c>
      <c r="E17">
        <f>FirstRuns!D16+SecondRuns!D16</f>
        <v>0</v>
      </c>
      <c r="F17">
        <f>FirstRuns!E16+SecondRuns!E16</f>
        <v>0</v>
      </c>
      <c r="G17">
        <f>FirstRuns!F16+SecondRuns!F16</f>
        <v>0</v>
      </c>
      <c r="H17">
        <f>FirstRuns!G16+SecondRuns!G16</f>
        <v>0</v>
      </c>
      <c r="I17">
        <f>FirstRuns!H16+SecondRuns!H16</f>
        <v>0</v>
      </c>
      <c r="J17">
        <f>FirstRuns!I16+SecondRuns!I16</f>
        <v>0</v>
      </c>
      <c r="K17">
        <f>FirstRuns!J16+SecondRuns!J16</f>
        <v>0</v>
      </c>
      <c r="L17">
        <f>FirstRuns!K16+SecondRuns!K16</f>
        <v>0</v>
      </c>
      <c r="M17">
        <f t="shared" si="2"/>
        <v>0</v>
      </c>
      <c r="N17">
        <f t="shared" si="3"/>
        <v>0</v>
      </c>
      <c r="O17">
        <f t="shared" si="4"/>
        <v>0</v>
      </c>
      <c r="P17" s="2" t="e">
        <f t="shared" si="5"/>
        <v>#DIV/0!</v>
      </c>
      <c r="Q17" s="2" t="e">
        <f t="shared" si="6"/>
        <v>#DIV/0!</v>
      </c>
      <c r="R17" s="2" t="e">
        <f t="shared" si="7"/>
        <v>#DIV/0!</v>
      </c>
      <c r="S17">
        <f t="shared" si="8"/>
        <v>0</v>
      </c>
      <c r="T17">
        <f t="shared" si="9"/>
        <v>0</v>
      </c>
      <c r="U17">
        <f t="shared" si="10"/>
        <v>0</v>
      </c>
      <c r="V17">
        <f t="shared" si="11"/>
        <v>0</v>
      </c>
      <c r="W17">
        <f t="shared" si="12"/>
        <v>0</v>
      </c>
      <c r="X17">
        <f t="shared" si="13"/>
        <v>0</v>
      </c>
      <c r="Y17" t="e">
        <f t="shared" si="14"/>
        <v>#DIV/0!</v>
      </c>
      <c r="Z17" t="e">
        <f t="shared" si="15"/>
        <v>#DIV/0!</v>
      </c>
      <c r="AB17" t="e">
        <f t="shared" si="16"/>
        <v>#DIV/0!</v>
      </c>
      <c r="AC17" t="e">
        <f t="shared" si="17"/>
        <v>#DIV/0!</v>
      </c>
      <c r="AE17">
        <f t="shared" si="18"/>
        <v>0</v>
      </c>
    </row>
    <row r="18" spans="1:31" x14ac:dyDescent="0.25">
      <c r="A18">
        <f>FirstRuns!A17</f>
        <v>0</v>
      </c>
      <c r="B18">
        <f>SecondRuns!A17</f>
        <v>0</v>
      </c>
      <c r="C18">
        <f>FirstRuns!B17+SecondRuns!B17</f>
        <v>0</v>
      </c>
      <c r="D18">
        <f>FirstRuns!C17+SecondRuns!C17</f>
        <v>0</v>
      </c>
      <c r="E18">
        <f>FirstRuns!D17+SecondRuns!D17</f>
        <v>0</v>
      </c>
      <c r="F18">
        <f>FirstRuns!E17+SecondRuns!E17</f>
        <v>0</v>
      </c>
      <c r="G18">
        <f>FirstRuns!F17+SecondRuns!F17</f>
        <v>0</v>
      </c>
      <c r="H18">
        <f>FirstRuns!G17+SecondRuns!G17</f>
        <v>0</v>
      </c>
      <c r="I18">
        <f>FirstRuns!H17+SecondRuns!H17</f>
        <v>0</v>
      </c>
      <c r="J18">
        <f>FirstRuns!I17+SecondRuns!I17</f>
        <v>0</v>
      </c>
      <c r="K18">
        <f>FirstRuns!J17+SecondRuns!J17</f>
        <v>0</v>
      </c>
      <c r="L18">
        <f>FirstRuns!K17+SecondRuns!K17</f>
        <v>0</v>
      </c>
      <c r="M18">
        <f t="shared" si="2"/>
        <v>0</v>
      </c>
      <c r="N18">
        <f t="shared" si="3"/>
        <v>0</v>
      </c>
      <c r="O18">
        <f t="shared" si="4"/>
        <v>0</v>
      </c>
      <c r="P18" s="2" t="e">
        <f t="shared" si="5"/>
        <v>#DIV/0!</v>
      </c>
      <c r="Q18" s="2" t="e">
        <f t="shared" si="6"/>
        <v>#DIV/0!</v>
      </c>
      <c r="R18" s="2" t="e">
        <f t="shared" si="7"/>
        <v>#DIV/0!</v>
      </c>
      <c r="S18">
        <f t="shared" si="8"/>
        <v>0</v>
      </c>
      <c r="T18">
        <f t="shared" si="9"/>
        <v>0</v>
      </c>
      <c r="U18">
        <f t="shared" si="10"/>
        <v>0</v>
      </c>
      <c r="V18">
        <f t="shared" si="11"/>
        <v>0</v>
      </c>
      <c r="W18">
        <f t="shared" si="12"/>
        <v>0</v>
      </c>
      <c r="X18">
        <f t="shared" si="13"/>
        <v>0</v>
      </c>
      <c r="Y18" t="e">
        <f t="shared" si="14"/>
        <v>#DIV/0!</v>
      </c>
      <c r="Z18" t="e">
        <f t="shared" si="15"/>
        <v>#DIV/0!</v>
      </c>
      <c r="AB18" t="e">
        <f t="shared" si="16"/>
        <v>#DIV/0!</v>
      </c>
      <c r="AC18" t="e">
        <f t="shared" si="17"/>
        <v>#DIV/0!</v>
      </c>
      <c r="AE18">
        <f t="shared" si="18"/>
        <v>0</v>
      </c>
    </row>
    <row r="19" spans="1:31" x14ac:dyDescent="0.25">
      <c r="A19">
        <f>FirstRuns!A18</f>
        <v>0</v>
      </c>
      <c r="B19">
        <f>SecondRuns!A18</f>
        <v>0</v>
      </c>
      <c r="C19">
        <f>FirstRuns!B18+SecondRuns!B18</f>
        <v>0</v>
      </c>
      <c r="D19">
        <f>FirstRuns!C18+SecondRuns!C18</f>
        <v>0</v>
      </c>
      <c r="E19">
        <f>FirstRuns!D18+SecondRuns!D18</f>
        <v>0</v>
      </c>
      <c r="F19">
        <f>FirstRuns!E18+SecondRuns!E18</f>
        <v>0</v>
      </c>
      <c r="G19">
        <f>FirstRuns!F18+SecondRuns!F18</f>
        <v>0</v>
      </c>
      <c r="H19">
        <f>FirstRuns!G18+SecondRuns!G18</f>
        <v>0</v>
      </c>
      <c r="I19">
        <f>FirstRuns!H18+SecondRuns!H18</f>
        <v>0</v>
      </c>
      <c r="J19">
        <f>FirstRuns!I18+SecondRuns!I18</f>
        <v>0</v>
      </c>
      <c r="K19">
        <f>FirstRuns!J18+SecondRuns!J18</f>
        <v>0</v>
      </c>
      <c r="L19">
        <f>FirstRuns!K18+SecondRuns!K18</f>
        <v>0</v>
      </c>
      <c r="M19">
        <f t="shared" si="2"/>
        <v>0</v>
      </c>
      <c r="N19">
        <f t="shared" si="3"/>
        <v>0</v>
      </c>
      <c r="O19">
        <f t="shared" si="4"/>
        <v>0</v>
      </c>
      <c r="P19" s="2" t="e">
        <f t="shared" si="5"/>
        <v>#DIV/0!</v>
      </c>
      <c r="Q19" s="2" t="e">
        <f t="shared" si="6"/>
        <v>#DIV/0!</v>
      </c>
      <c r="R19" s="2" t="e">
        <f t="shared" si="7"/>
        <v>#DIV/0!</v>
      </c>
      <c r="S19">
        <f t="shared" si="8"/>
        <v>0</v>
      </c>
      <c r="T19">
        <f t="shared" si="9"/>
        <v>0</v>
      </c>
      <c r="U19">
        <f t="shared" si="10"/>
        <v>0</v>
      </c>
      <c r="V19">
        <f t="shared" si="11"/>
        <v>0</v>
      </c>
      <c r="W19">
        <f t="shared" si="12"/>
        <v>0</v>
      </c>
      <c r="X19">
        <f t="shared" si="13"/>
        <v>0</v>
      </c>
      <c r="Y19" t="e">
        <f t="shared" si="14"/>
        <v>#DIV/0!</v>
      </c>
      <c r="Z19" t="e">
        <f t="shared" si="15"/>
        <v>#DIV/0!</v>
      </c>
      <c r="AB19" t="e">
        <f t="shared" si="16"/>
        <v>#DIV/0!</v>
      </c>
      <c r="AC19" t="e">
        <f t="shared" si="17"/>
        <v>#DIV/0!</v>
      </c>
      <c r="AE19">
        <f t="shared" si="18"/>
        <v>0</v>
      </c>
    </row>
    <row r="20" spans="1:31" x14ac:dyDescent="0.25">
      <c r="A20">
        <f>FirstRuns!A19</f>
        <v>0</v>
      </c>
      <c r="B20">
        <f>SecondRuns!A19</f>
        <v>0</v>
      </c>
      <c r="C20">
        <f>FirstRuns!B19+SecondRuns!B19</f>
        <v>0</v>
      </c>
      <c r="D20">
        <f>FirstRuns!C19+SecondRuns!C19</f>
        <v>0</v>
      </c>
      <c r="E20">
        <f>FirstRuns!D19+SecondRuns!D19</f>
        <v>0</v>
      </c>
      <c r="F20">
        <f>FirstRuns!E19+SecondRuns!E19</f>
        <v>0</v>
      </c>
      <c r="G20">
        <f>FirstRuns!F19+SecondRuns!F19</f>
        <v>0</v>
      </c>
      <c r="H20">
        <f>FirstRuns!G19+SecondRuns!G19</f>
        <v>0</v>
      </c>
      <c r="I20">
        <f>FirstRuns!H19+SecondRuns!H19</f>
        <v>0</v>
      </c>
      <c r="J20">
        <f>FirstRuns!I19+SecondRuns!I19</f>
        <v>0</v>
      </c>
      <c r="K20">
        <f>FirstRuns!J19+SecondRuns!J19</f>
        <v>0</v>
      </c>
      <c r="L20">
        <f>FirstRuns!K19+SecondRuns!K19</f>
        <v>0</v>
      </c>
      <c r="M20">
        <f t="shared" si="2"/>
        <v>0</v>
      </c>
      <c r="N20">
        <f t="shared" si="3"/>
        <v>0</v>
      </c>
      <c r="O20">
        <f t="shared" si="4"/>
        <v>0</v>
      </c>
      <c r="P20" s="2" t="e">
        <f t="shared" si="5"/>
        <v>#DIV/0!</v>
      </c>
      <c r="Q20" s="2" t="e">
        <f t="shared" si="6"/>
        <v>#DIV/0!</v>
      </c>
      <c r="R20" s="2" t="e">
        <f t="shared" si="7"/>
        <v>#DIV/0!</v>
      </c>
      <c r="S20">
        <f t="shared" si="8"/>
        <v>0</v>
      </c>
      <c r="T20">
        <f t="shared" si="9"/>
        <v>0</v>
      </c>
      <c r="U20">
        <f t="shared" si="10"/>
        <v>0</v>
      </c>
      <c r="V20">
        <f t="shared" si="11"/>
        <v>0</v>
      </c>
      <c r="W20">
        <f t="shared" si="12"/>
        <v>0</v>
      </c>
      <c r="X20">
        <f t="shared" si="13"/>
        <v>0</v>
      </c>
      <c r="Y20" t="e">
        <f t="shared" si="14"/>
        <v>#DIV/0!</v>
      </c>
      <c r="Z20" t="e">
        <f t="shared" si="15"/>
        <v>#DIV/0!</v>
      </c>
      <c r="AB20" t="e">
        <f t="shared" si="16"/>
        <v>#DIV/0!</v>
      </c>
      <c r="AC20" t="e">
        <f t="shared" si="17"/>
        <v>#DIV/0!</v>
      </c>
      <c r="AE20">
        <f t="shared" si="18"/>
        <v>0</v>
      </c>
    </row>
    <row r="21" spans="1:31" x14ac:dyDescent="0.25">
      <c r="A21">
        <f>FirstRuns!A20</f>
        <v>0</v>
      </c>
      <c r="B21">
        <f>SecondRuns!A20</f>
        <v>0</v>
      </c>
      <c r="C21">
        <f>FirstRuns!B20+SecondRuns!B20</f>
        <v>0</v>
      </c>
      <c r="D21">
        <f>FirstRuns!C20+SecondRuns!C20</f>
        <v>0</v>
      </c>
      <c r="E21">
        <f>FirstRuns!D20+SecondRuns!D20</f>
        <v>0</v>
      </c>
      <c r="F21">
        <f>FirstRuns!E20+SecondRuns!E20</f>
        <v>0</v>
      </c>
      <c r="G21">
        <f>FirstRuns!F20+SecondRuns!F20</f>
        <v>0</v>
      </c>
      <c r="H21">
        <f>FirstRuns!G20+SecondRuns!G20</f>
        <v>0</v>
      </c>
      <c r="I21">
        <f>FirstRuns!H20+SecondRuns!H20</f>
        <v>0</v>
      </c>
      <c r="J21">
        <f>FirstRuns!I20+SecondRuns!I20</f>
        <v>0</v>
      </c>
      <c r="K21">
        <f>FirstRuns!J20+SecondRuns!J20</f>
        <v>0</v>
      </c>
      <c r="L21">
        <f>FirstRuns!K20+SecondRuns!K20</f>
        <v>0</v>
      </c>
      <c r="M21">
        <f t="shared" si="2"/>
        <v>0</v>
      </c>
      <c r="N21">
        <f t="shared" si="3"/>
        <v>0</v>
      </c>
      <c r="O21">
        <f t="shared" si="4"/>
        <v>0</v>
      </c>
      <c r="P21" s="2" t="e">
        <f t="shared" si="5"/>
        <v>#DIV/0!</v>
      </c>
      <c r="Q21" s="2" t="e">
        <f t="shared" si="6"/>
        <v>#DIV/0!</v>
      </c>
      <c r="R21" s="2" t="e">
        <f t="shared" si="7"/>
        <v>#DIV/0!</v>
      </c>
      <c r="S21">
        <f t="shared" si="8"/>
        <v>0</v>
      </c>
      <c r="T21">
        <f t="shared" si="9"/>
        <v>0</v>
      </c>
      <c r="U21">
        <f t="shared" si="10"/>
        <v>0</v>
      </c>
      <c r="V21">
        <f t="shared" si="11"/>
        <v>0</v>
      </c>
      <c r="W21">
        <f t="shared" si="12"/>
        <v>0</v>
      </c>
      <c r="X21">
        <f t="shared" si="13"/>
        <v>0</v>
      </c>
      <c r="Y21" t="e">
        <f t="shared" si="14"/>
        <v>#DIV/0!</v>
      </c>
      <c r="Z21" t="e">
        <f t="shared" si="15"/>
        <v>#DIV/0!</v>
      </c>
      <c r="AB21" t="e">
        <f t="shared" si="16"/>
        <v>#DIV/0!</v>
      </c>
      <c r="AC21" t="e">
        <f t="shared" si="17"/>
        <v>#DIV/0!</v>
      </c>
      <c r="AE21">
        <f t="shared" si="18"/>
        <v>0</v>
      </c>
    </row>
    <row r="22" spans="1:31" x14ac:dyDescent="0.25">
      <c r="A22">
        <f>FirstRuns!A21</f>
        <v>0</v>
      </c>
      <c r="B22">
        <f>SecondRuns!A21</f>
        <v>0</v>
      </c>
      <c r="C22">
        <f>FirstRuns!B21+SecondRuns!B21</f>
        <v>0</v>
      </c>
      <c r="D22">
        <f>FirstRuns!C21+SecondRuns!C21</f>
        <v>0</v>
      </c>
      <c r="E22">
        <f>FirstRuns!D21+SecondRuns!D21</f>
        <v>0</v>
      </c>
      <c r="F22">
        <f>FirstRuns!E21+SecondRuns!E21</f>
        <v>0</v>
      </c>
      <c r="G22">
        <f>FirstRuns!F21+SecondRuns!F21</f>
        <v>0</v>
      </c>
      <c r="H22">
        <f>FirstRuns!G21+SecondRuns!G21</f>
        <v>0</v>
      </c>
      <c r="I22">
        <f>FirstRuns!H21+SecondRuns!H21</f>
        <v>0</v>
      </c>
      <c r="J22">
        <f>FirstRuns!I21+SecondRuns!I21</f>
        <v>0</v>
      </c>
      <c r="K22">
        <f>FirstRuns!J21+SecondRuns!J21</f>
        <v>0</v>
      </c>
      <c r="L22">
        <f>FirstRuns!K21+SecondRuns!K21</f>
        <v>0</v>
      </c>
      <c r="M22">
        <f t="shared" si="2"/>
        <v>0</v>
      </c>
      <c r="N22">
        <f t="shared" si="3"/>
        <v>0</v>
      </c>
      <c r="O22">
        <f t="shared" si="4"/>
        <v>0</v>
      </c>
      <c r="P22" s="2" t="e">
        <f t="shared" si="5"/>
        <v>#DIV/0!</v>
      </c>
      <c r="Q22" s="2" t="e">
        <f t="shared" si="6"/>
        <v>#DIV/0!</v>
      </c>
      <c r="R22" s="2" t="e">
        <f t="shared" si="7"/>
        <v>#DIV/0!</v>
      </c>
      <c r="S22">
        <f t="shared" si="8"/>
        <v>0</v>
      </c>
      <c r="T22">
        <f t="shared" si="9"/>
        <v>0</v>
      </c>
      <c r="U22">
        <f t="shared" si="10"/>
        <v>0</v>
      </c>
      <c r="V22">
        <f t="shared" si="11"/>
        <v>0</v>
      </c>
      <c r="W22">
        <f t="shared" si="12"/>
        <v>0</v>
      </c>
      <c r="X22">
        <f t="shared" si="13"/>
        <v>0</v>
      </c>
      <c r="Y22" t="e">
        <f t="shared" si="14"/>
        <v>#DIV/0!</v>
      </c>
      <c r="Z22" t="e">
        <f t="shared" si="15"/>
        <v>#DIV/0!</v>
      </c>
      <c r="AB22" t="e">
        <f t="shared" si="16"/>
        <v>#DIV/0!</v>
      </c>
      <c r="AC22" t="e">
        <f t="shared" si="17"/>
        <v>#DIV/0!</v>
      </c>
      <c r="AE22">
        <f t="shared" si="18"/>
        <v>0</v>
      </c>
    </row>
    <row r="23" spans="1:31" x14ac:dyDescent="0.25">
      <c r="A23">
        <f>FirstRuns!A22</f>
        <v>0</v>
      </c>
      <c r="B23">
        <f>SecondRuns!A22</f>
        <v>0</v>
      </c>
      <c r="C23">
        <f>FirstRuns!B22+SecondRuns!B22</f>
        <v>0</v>
      </c>
      <c r="D23">
        <f>FirstRuns!C22+SecondRuns!C22</f>
        <v>0</v>
      </c>
      <c r="E23">
        <f>FirstRuns!D22+SecondRuns!D22</f>
        <v>0</v>
      </c>
      <c r="F23">
        <f>FirstRuns!E22+SecondRuns!E22</f>
        <v>0</v>
      </c>
      <c r="G23">
        <f>FirstRuns!F22+SecondRuns!F22</f>
        <v>0</v>
      </c>
      <c r="H23">
        <f>FirstRuns!G22+SecondRuns!G22</f>
        <v>0</v>
      </c>
      <c r="I23">
        <f>FirstRuns!H22+SecondRuns!H22</f>
        <v>0</v>
      </c>
      <c r="J23">
        <f>FirstRuns!I22+SecondRuns!I22</f>
        <v>0</v>
      </c>
      <c r="K23">
        <f>FirstRuns!J22+SecondRuns!J22</f>
        <v>0</v>
      </c>
      <c r="L23">
        <f>FirstRuns!K22+SecondRuns!K22</f>
        <v>0</v>
      </c>
      <c r="M23">
        <f t="shared" si="2"/>
        <v>0</v>
      </c>
      <c r="N23">
        <f t="shared" si="3"/>
        <v>0</v>
      </c>
      <c r="O23">
        <f t="shared" si="4"/>
        <v>0</v>
      </c>
      <c r="P23" s="2" t="e">
        <f t="shared" si="5"/>
        <v>#DIV/0!</v>
      </c>
      <c r="Q23" s="2" t="e">
        <f t="shared" si="6"/>
        <v>#DIV/0!</v>
      </c>
      <c r="R23" s="2" t="e">
        <f t="shared" si="7"/>
        <v>#DIV/0!</v>
      </c>
      <c r="S23">
        <f t="shared" si="8"/>
        <v>0</v>
      </c>
      <c r="T23">
        <f t="shared" si="9"/>
        <v>0</v>
      </c>
      <c r="U23">
        <f t="shared" si="10"/>
        <v>0</v>
      </c>
      <c r="V23">
        <f t="shared" si="11"/>
        <v>0</v>
      </c>
      <c r="W23">
        <f t="shared" si="12"/>
        <v>0</v>
      </c>
      <c r="X23">
        <f t="shared" si="13"/>
        <v>0</v>
      </c>
      <c r="Y23" t="e">
        <f t="shared" si="14"/>
        <v>#DIV/0!</v>
      </c>
      <c r="Z23" t="e">
        <f t="shared" si="15"/>
        <v>#DIV/0!</v>
      </c>
      <c r="AB23" t="e">
        <f t="shared" si="16"/>
        <v>#DIV/0!</v>
      </c>
      <c r="AC23" t="e">
        <f t="shared" si="17"/>
        <v>#DIV/0!</v>
      </c>
      <c r="AE23">
        <f t="shared" si="18"/>
        <v>0</v>
      </c>
    </row>
    <row r="24" spans="1:31" x14ac:dyDescent="0.25">
      <c r="A24">
        <f>FirstRuns!A23</f>
        <v>0</v>
      </c>
      <c r="B24">
        <f>SecondRuns!A23</f>
        <v>0</v>
      </c>
      <c r="C24">
        <f>FirstRuns!B23+SecondRuns!B23</f>
        <v>0</v>
      </c>
      <c r="D24">
        <f>FirstRuns!C23+SecondRuns!C23</f>
        <v>0</v>
      </c>
      <c r="E24">
        <f>FirstRuns!D23+SecondRuns!D23</f>
        <v>0</v>
      </c>
      <c r="F24">
        <f>FirstRuns!E23+SecondRuns!E23</f>
        <v>0</v>
      </c>
      <c r="G24">
        <f>FirstRuns!F23+SecondRuns!F23</f>
        <v>0</v>
      </c>
      <c r="H24">
        <f>FirstRuns!G23+SecondRuns!G23</f>
        <v>0</v>
      </c>
      <c r="I24">
        <f>FirstRuns!H23+SecondRuns!H23</f>
        <v>0</v>
      </c>
      <c r="J24">
        <f>FirstRuns!I23+SecondRuns!I23</f>
        <v>0</v>
      </c>
      <c r="K24">
        <f>FirstRuns!J23+SecondRuns!J23</f>
        <v>0</v>
      </c>
      <c r="L24">
        <f>FirstRuns!K23+SecondRuns!K23</f>
        <v>0</v>
      </c>
      <c r="M24">
        <f t="shared" si="2"/>
        <v>0</v>
      </c>
      <c r="N24">
        <f t="shared" si="3"/>
        <v>0</v>
      </c>
      <c r="O24">
        <f t="shared" si="4"/>
        <v>0</v>
      </c>
      <c r="P24" s="2" t="e">
        <f t="shared" si="5"/>
        <v>#DIV/0!</v>
      </c>
      <c r="Q24" s="2" t="e">
        <f t="shared" si="6"/>
        <v>#DIV/0!</v>
      </c>
      <c r="R24" s="2" t="e">
        <f t="shared" si="7"/>
        <v>#DIV/0!</v>
      </c>
      <c r="S24">
        <f t="shared" si="8"/>
        <v>0</v>
      </c>
      <c r="T24">
        <f t="shared" si="9"/>
        <v>0</v>
      </c>
      <c r="U24">
        <f t="shared" si="10"/>
        <v>0</v>
      </c>
      <c r="V24">
        <f t="shared" si="11"/>
        <v>0</v>
      </c>
      <c r="W24">
        <f t="shared" si="12"/>
        <v>0</v>
      </c>
      <c r="X24">
        <f t="shared" si="13"/>
        <v>0</v>
      </c>
      <c r="Y24" t="e">
        <f t="shared" si="14"/>
        <v>#DIV/0!</v>
      </c>
      <c r="Z24" t="e">
        <f t="shared" si="15"/>
        <v>#DIV/0!</v>
      </c>
      <c r="AB24" t="e">
        <f t="shared" si="16"/>
        <v>#DIV/0!</v>
      </c>
      <c r="AC24" t="e">
        <f t="shared" si="17"/>
        <v>#DIV/0!</v>
      </c>
      <c r="AE24">
        <f t="shared" si="18"/>
        <v>0</v>
      </c>
    </row>
    <row r="25" spans="1:31" x14ac:dyDescent="0.25">
      <c r="A25">
        <f>FirstRuns!A24</f>
        <v>0</v>
      </c>
      <c r="B25">
        <f>SecondRuns!A24</f>
        <v>0</v>
      </c>
      <c r="C25">
        <f>FirstRuns!B24+SecondRuns!B24</f>
        <v>0</v>
      </c>
      <c r="D25">
        <f>FirstRuns!C24+SecondRuns!C24</f>
        <v>0</v>
      </c>
      <c r="E25">
        <f>FirstRuns!D24+SecondRuns!D24</f>
        <v>0</v>
      </c>
      <c r="F25">
        <f>FirstRuns!E24+SecondRuns!E24</f>
        <v>0</v>
      </c>
      <c r="G25">
        <f>FirstRuns!F24+SecondRuns!F24</f>
        <v>0</v>
      </c>
      <c r="H25">
        <f>FirstRuns!G24+SecondRuns!G24</f>
        <v>0</v>
      </c>
      <c r="I25">
        <f>FirstRuns!H24+SecondRuns!H24</f>
        <v>0</v>
      </c>
      <c r="J25">
        <f>FirstRuns!I24+SecondRuns!I24</f>
        <v>0</v>
      </c>
      <c r="K25">
        <f>FirstRuns!J24+SecondRuns!J24</f>
        <v>0</v>
      </c>
      <c r="L25">
        <f>FirstRuns!K24+SecondRuns!K24</f>
        <v>0</v>
      </c>
      <c r="M25">
        <f t="shared" si="2"/>
        <v>0</v>
      </c>
      <c r="N25">
        <f t="shared" si="3"/>
        <v>0</v>
      </c>
      <c r="O25">
        <f t="shared" si="4"/>
        <v>0</v>
      </c>
      <c r="P25" s="2" t="e">
        <f t="shared" si="5"/>
        <v>#DIV/0!</v>
      </c>
      <c r="Q25" s="2" t="e">
        <f t="shared" si="6"/>
        <v>#DIV/0!</v>
      </c>
      <c r="R25" s="2" t="e">
        <f t="shared" si="7"/>
        <v>#DIV/0!</v>
      </c>
      <c r="S25">
        <f t="shared" si="8"/>
        <v>0</v>
      </c>
      <c r="T25">
        <f t="shared" si="9"/>
        <v>0</v>
      </c>
      <c r="U25">
        <f t="shared" si="10"/>
        <v>0</v>
      </c>
      <c r="V25">
        <f t="shared" si="11"/>
        <v>0</v>
      </c>
      <c r="W25">
        <f t="shared" si="12"/>
        <v>0</v>
      </c>
      <c r="X25">
        <f t="shared" si="13"/>
        <v>0</v>
      </c>
      <c r="Y25" t="e">
        <f t="shared" si="14"/>
        <v>#DIV/0!</v>
      </c>
      <c r="Z25" t="e">
        <f t="shared" si="15"/>
        <v>#DIV/0!</v>
      </c>
      <c r="AB25" t="e">
        <f t="shared" si="16"/>
        <v>#DIV/0!</v>
      </c>
      <c r="AC25" t="e">
        <f t="shared" si="17"/>
        <v>#DIV/0!</v>
      </c>
      <c r="AE25">
        <f t="shared" si="18"/>
        <v>0</v>
      </c>
    </row>
    <row r="26" spans="1:31" x14ac:dyDescent="0.25">
      <c r="A26">
        <f>FirstRuns!A25</f>
        <v>0</v>
      </c>
      <c r="B26">
        <f>SecondRuns!A25</f>
        <v>0</v>
      </c>
      <c r="C26">
        <f>FirstRuns!B25+SecondRuns!B25</f>
        <v>0</v>
      </c>
      <c r="D26">
        <f>FirstRuns!C25+SecondRuns!C25</f>
        <v>0</v>
      </c>
      <c r="E26">
        <f>FirstRuns!D25+SecondRuns!D25</f>
        <v>0</v>
      </c>
      <c r="F26">
        <f>FirstRuns!E25+SecondRuns!E25</f>
        <v>0</v>
      </c>
      <c r="G26">
        <f>FirstRuns!F25+SecondRuns!F25</f>
        <v>0</v>
      </c>
      <c r="H26">
        <f>FirstRuns!G25+SecondRuns!G25</f>
        <v>0</v>
      </c>
      <c r="I26">
        <f>FirstRuns!H25+SecondRuns!H25</f>
        <v>0</v>
      </c>
      <c r="J26">
        <f>FirstRuns!I25+SecondRuns!I25</f>
        <v>0</v>
      </c>
      <c r="K26">
        <f>FirstRuns!J25+SecondRuns!J25</f>
        <v>0</v>
      </c>
      <c r="L26">
        <f>FirstRuns!K25+SecondRuns!K25</f>
        <v>0</v>
      </c>
      <c r="M26">
        <f t="shared" si="2"/>
        <v>0</v>
      </c>
      <c r="N26">
        <f t="shared" si="3"/>
        <v>0</v>
      </c>
      <c r="O26">
        <f t="shared" si="4"/>
        <v>0</v>
      </c>
      <c r="P26" s="2" t="e">
        <f t="shared" si="5"/>
        <v>#DIV/0!</v>
      </c>
      <c r="Q26" s="2" t="e">
        <f t="shared" si="6"/>
        <v>#DIV/0!</v>
      </c>
      <c r="R26" s="2" t="e">
        <f t="shared" si="7"/>
        <v>#DIV/0!</v>
      </c>
      <c r="S26">
        <f t="shared" si="8"/>
        <v>0</v>
      </c>
      <c r="T26">
        <f t="shared" si="9"/>
        <v>0</v>
      </c>
      <c r="U26">
        <f t="shared" si="10"/>
        <v>0</v>
      </c>
      <c r="V26">
        <f t="shared" si="11"/>
        <v>0</v>
      </c>
      <c r="W26">
        <f t="shared" si="12"/>
        <v>0</v>
      </c>
      <c r="X26">
        <f t="shared" si="13"/>
        <v>0</v>
      </c>
      <c r="Y26" t="e">
        <f t="shared" si="14"/>
        <v>#DIV/0!</v>
      </c>
      <c r="Z26" t="e">
        <f t="shared" si="15"/>
        <v>#DIV/0!</v>
      </c>
      <c r="AB26" t="e">
        <f t="shared" si="16"/>
        <v>#DIV/0!</v>
      </c>
      <c r="AC26" t="e">
        <f t="shared" si="17"/>
        <v>#DIV/0!</v>
      </c>
      <c r="AE26">
        <f t="shared" si="18"/>
        <v>0</v>
      </c>
    </row>
    <row r="27" spans="1:31" x14ac:dyDescent="0.25">
      <c r="A27">
        <f>FirstRuns!A26</f>
        <v>0</v>
      </c>
      <c r="B27">
        <f>SecondRuns!A26</f>
        <v>0</v>
      </c>
      <c r="C27">
        <f>FirstRuns!B26+SecondRuns!B26</f>
        <v>0</v>
      </c>
      <c r="D27">
        <f>FirstRuns!C26+SecondRuns!C26</f>
        <v>0</v>
      </c>
      <c r="E27">
        <f>FirstRuns!D26+SecondRuns!D26</f>
        <v>0</v>
      </c>
      <c r="F27">
        <f>FirstRuns!E26+SecondRuns!E26</f>
        <v>0</v>
      </c>
      <c r="G27">
        <f>FirstRuns!F26+SecondRuns!F26</f>
        <v>0</v>
      </c>
      <c r="H27">
        <f>FirstRuns!G26+SecondRuns!G26</f>
        <v>0</v>
      </c>
      <c r="I27">
        <f>FirstRuns!H26+SecondRuns!H26</f>
        <v>0</v>
      </c>
      <c r="J27">
        <f>FirstRuns!I26+SecondRuns!I26</f>
        <v>0</v>
      </c>
      <c r="K27">
        <f>FirstRuns!J26+SecondRuns!J26</f>
        <v>0</v>
      </c>
      <c r="L27">
        <f>FirstRuns!K26+SecondRuns!K26</f>
        <v>0</v>
      </c>
      <c r="M27">
        <f t="shared" si="2"/>
        <v>0</v>
      </c>
      <c r="N27">
        <f t="shared" si="3"/>
        <v>0</v>
      </c>
      <c r="O27">
        <f t="shared" si="4"/>
        <v>0</v>
      </c>
      <c r="P27" s="2" t="e">
        <f t="shared" si="5"/>
        <v>#DIV/0!</v>
      </c>
      <c r="Q27" s="2" t="e">
        <f t="shared" si="6"/>
        <v>#DIV/0!</v>
      </c>
      <c r="R27" s="2" t="e">
        <f t="shared" si="7"/>
        <v>#DIV/0!</v>
      </c>
      <c r="S27">
        <f t="shared" si="8"/>
        <v>0</v>
      </c>
      <c r="T27">
        <f t="shared" si="9"/>
        <v>0</v>
      </c>
      <c r="U27">
        <f t="shared" si="10"/>
        <v>0</v>
      </c>
      <c r="V27">
        <f t="shared" si="11"/>
        <v>0</v>
      </c>
      <c r="W27">
        <f t="shared" si="12"/>
        <v>0</v>
      </c>
      <c r="X27">
        <f t="shared" si="13"/>
        <v>0</v>
      </c>
      <c r="Y27" t="e">
        <f t="shared" si="14"/>
        <v>#DIV/0!</v>
      </c>
      <c r="Z27" t="e">
        <f t="shared" si="15"/>
        <v>#DIV/0!</v>
      </c>
      <c r="AB27" t="e">
        <f t="shared" si="16"/>
        <v>#DIV/0!</v>
      </c>
      <c r="AC27" t="e">
        <f t="shared" si="17"/>
        <v>#DIV/0!</v>
      </c>
      <c r="AE27">
        <f t="shared" si="18"/>
        <v>0</v>
      </c>
    </row>
    <row r="28" spans="1:31" x14ac:dyDescent="0.25">
      <c r="A28">
        <f>FirstRuns!A27</f>
        <v>0</v>
      </c>
      <c r="B28">
        <f>SecondRuns!A27</f>
        <v>0</v>
      </c>
      <c r="C28">
        <f>FirstRuns!B27+SecondRuns!B27</f>
        <v>0</v>
      </c>
      <c r="D28">
        <f>FirstRuns!C27+SecondRuns!C27</f>
        <v>0</v>
      </c>
      <c r="E28">
        <f>FirstRuns!D27+SecondRuns!D27</f>
        <v>0</v>
      </c>
      <c r="F28">
        <f>FirstRuns!E27+SecondRuns!E27</f>
        <v>0</v>
      </c>
      <c r="G28">
        <f>FirstRuns!F27+SecondRuns!F27</f>
        <v>0</v>
      </c>
      <c r="H28">
        <f>FirstRuns!G27+SecondRuns!G27</f>
        <v>0</v>
      </c>
      <c r="I28">
        <f>FirstRuns!H27+SecondRuns!H27</f>
        <v>0</v>
      </c>
      <c r="J28">
        <f>FirstRuns!I27+SecondRuns!I27</f>
        <v>0</v>
      </c>
      <c r="K28">
        <f>FirstRuns!J27+SecondRuns!J27</f>
        <v>0</v>
      </c>
      <c r="L28">
        <f>FirstRuns!K27+SecondRuns!K27</f>
        <v>0</v>
      </c>
      <c r="M28">
        <f t="shared" si="2"/>
        <v>0</v>
      </c>
      <c r="N28">
        <f t="shared" si="3"/>
        <v>0</v>
      </c>
      <c r="O28">
        <f t="shared" si="4"/>
        <v>0</v>
      </c>
      <c r="P28" s="2" t="e">
        <f t="shared" si="5"/>
        <v>#DIV/0!</v>
      </c>
      <c r="Q28" s="2" t="e">
        <f t="shared" si="6"/>
        <v>#DIV/0!</v>
      </c>
      <c r="R28" s="2" t="e">
        <f t="shared" si="7"/>
        <v>#DIV/0!</v>
      </c>
      <c r="S28">
        <f t="shared" si="8"/>
        <v>0</v>
      </c>
      <c r="T28">
        <f t="shared" si="9"/>
        <v>0</v>
      </c>
      <c r="U28">
        <f t="shared" si="10"/>
        <v>0</v>
      </c>
      <c r="V28">
        <f t="shared" si="11"/>
        <v>0</v>
      </c>
      <c r="W28">
        <f t="shared" si="12"/>
        <v>0</v>
      </c>
      <c r="X28">
        <f t="shared" si="13"/>
        <v>0</v>
      </c>
      <c r="Y28" t="e">
        <f t="shared" si="14"/>
        <v>#DIV/0!</v>
      </c>
      <c r="Z28" t="e">
        <f t="shared" si="15"/>
        <v>#DIV/0!</v>
      </c>
      <c r="AB28" t="e">
        <f t="shared" si="16"/>
        <v>#DIV/0!</v>
      </c>
      <c r="AC28" t="e">
        <f t="shared" si="17"/>
        <v>#DIV/0!</v>
      </c>
      <c r="AE28">
        <f t="shared" si="18"/>
        <v>0</v>
      </c>
    </row>
    <row r="29" spans="1:31" x14ac:dyDescent="0.25">
      <c r="A29">
        <f>FirstRuns!A28</f>
        <v>0</v>
      </c>
      <c r="B29">
        <f>SecondRuns!A28</f>
        <v>0</v>
      </c>
      <c r="C29">
        <f>FirstRuns!B28+SecondRuns!B28</f>
        <v>0</v>
      </c>
      <c r="D29">
        <f>FirstRuns!C28+SecondRuns!C28</f>
        <v>0</v>
      </c>
      <c r="E29">
        <f>FirstRuns!D28+SecondRuns!D28</f>
        <v>0</v>
      </c>
      <c r="F29">
        <f>FirstRuns!E28+SecondRuns!E28</f>
        <v>0</v>
      </c>
      <c r="G29">
        <f>FirstRuns!F28+SecondRuns!F28</f>
        <v>0</v>
      </c>
      <c r="H29">
        <f>FirstRuns!G28+SecondRuns!G28</f>
        <v>0</v>
      </c>
      <c r="I29">
        <f>FirstRuns!H28+SecondRuns!H28</f>
        <v>0</v>
      </c>
      <c r="J29">
        <f>FirstRuns!I28+SecondRuns!I28</f>
        <v>0</v>
      </c>
      <c r="K29">
        <f>FirstRuns!J28+SecondRuns!J28</f>
        <v>0</v>
      </c>
      <c r="L29">
        <f>FirstRuns!K28+SecondRuns!K28</f>
        <v>0</v>
      </c>
      <c r="M29">
        <f t="shared" si="2"/>
        <v>0</v>
      </c>
      <c r="N29">
        <f t="shared" si="3"/>
        <v>0</v>
      </c>
      <c r="O29">
        <f t="shared" si="4"/>
        <v>0</v>
      </c>
      <c r="P29" s="2" t="e">
        <f t="shared" si="5"/>
        <v>#DIV/0!</v>
      </c>
      <c r="Q29" s="2" t="e">
        <f t="shared" si="6"/>
        <v>#DIV/0!</v>
      </c>
      <c r="R29" s="2" t="e">
        <f t="shared" si="7"/>
        <v>#DIV/0!</v>
      </c>
      <c r="S29">
        <f t="shared" si="8"/>
        <v>0</v>
      </c>
      <c r="T29">
        <f t="shared" si="9"/>
        <v>0</v>
      </c>
      <c r="U29">
        <f t="shared" si="10"/>
        <v>0</v>
      </c>
      <c r="V29">
        <f t="shared" si="11"/>
        <v>0</v>
      </c>
      <c r="W29">
        <f t="shared" si="12"/>
        <v>0</v>
      </c>
      <c r="X29">
        <f t="shared" si="13"/>
        <v>0</v>
      </c>
      <c r="Y29" t="e">
        <f t="shared" si="14"/>
        <v>#DIV/0!</v>
      </c>
      <c r="Z29" t="e">
        <f t="shared" si="15"/>
        <v>#DIV/0!</v>
      </c>
      <c r="AB29" t="e">
        <f t="shared" si="16"/>
        <v>#DIV/0!</v>
      </c>
      <c r="AC29" t="e">
        <f t="shared" si="17"/>
        <v>#DIV/0!</v>
      </c>
      <c r="AE29">
        <f t="shared" si="18"/>
        <v>0</v>
      </c>
    </row>
    <row r="30" spans="1:31" x14ac:dyDescent="0.25">
      <c r="A30">
        <f>FirstRuns!A29</f>
        <v>0</v>
      </c>
      <c r="B30">
        <f>SecondRuns!A29</f>
        <v>0</v>
      </c>
      <c r="C30">
        <f>FirstRuns!B29+SecondRuns!B29</f>
        <v>0</v>
      </c>
      <c r="D30">
        <f>FirstRuns!C29+SecondRuns!C29</f>
        <v>0</v>
      </c>
      <c r="E30">
        <f>FirstRuns!D29+SecondRuns!D29</f>
        <v>0</v>
      </c>
      <c r="F30">
        <f>FirstRuns!E29+SecondRuns!E29</f>
        <v>0</v>
      </c>
      <c r="G30">
        <f>FirstRuns!F29+SecondRuns!F29</f>
        <v>0</v>
      </c>
      <c r="H30">
        <f>FirstRuns!G29+SecondRuns!G29</f>
        <v>0</v>
      </c>
      <c r="I30">
        <f>FirstRuns!H29+SecondRuns!H29</f>
        <v>0</v>
      </c>
      <c r="J30">
        <f>FirstRuns!I29+SecondRuns!I29</f>
        <v>0</v>
      </c>
      <c r="K30">
        <f>FirstRuns!J29+SecondRuns!J29</f>
        <v>0</v>
      </c>
      <c r="L30">
        <f>FirstRuns!K29+SecondRuns!K29</f>
        <v>0</v>
      </c>
      <c r="M30">
        <f t="shared" si="2"/>
        <v>0</v>
      </c>
      <c r="N30">
        <f t="shared" si="3"/>
        <v>0</v>
      </c>
      <c r="O30">
        <f t="shared" si="4"/>
        <v>0</v>
      </c>
      <c r="P30" s="2" t="e">
        <f t="shared" si="5"/>
        <v>#DIV/0!</v>
      </c>
      <c r="Q30" s="2" t="e">
        <f t="shared" si="6"/>
        <v>#DIV/0!</v>
      </c>
      <c r="R30" s="2" t="e">
        <f t="shared" si="7"/>
        <v>#DIV/0!</v>
      </c>
      <c r="S30">
        <f t="shared" si="8"/>
        <v>0</v>
      </c>
      <c r="T30">
        <f t="shared" si="9"/>
        <v>0</v>
      </c>
      <c r="U30">
        <f t="shared" si="10"/>
        <v>0</v>
      </c>
      <c r="V30">
        <f t="shared" si="11"/>
        <v>0</v>
      </c>
      <c r="W30">
        <f t="shared" si="12"/>
        <v>0</v>
      </c>
      <c r="X30">
        <f t="shared" si="13"/>
        <v>0</v>
      </c>
      <c r="Y30" t="e">
        <f t="shared" si="14"/>
        <v>#DIV/0!</v>
      </c>
      <c r="Z30" t="e">
        <f t="shared" si="15"/>
        <v>#DIV/0!</v>
      </c>
      <c r="AB30" t="e">
        <f t="shared" si="16"/>
        <v>#DIV/0!</v>
      </c>
      <c r="AC30" t="e">
        <f t="shared" si="17"/>
        <v>#DIV/0!</v>
      </c>
      <c r="AE30">
        <f t="shared" si="18"/>
        <v>0</v>
      </c>
    </row>
    <row r="31" spans="1:31" x14ac:dyDescent="0.25">
      <c r="A31">
        <f>FirstRuns!A30</f>
        <v>0</v>
      </c>
      <c r="B31">
        <f>SecondRuns!A30</f>
        <v>0</v>
      </c>
      <c r="C31">
        <f>FirstRuns!B30+SecondRuns!B30</f>
        <v>0</v>
      </c>
      <c r="D31">
        <f>FirstRuns!C30+SecondRuns!C30</f>
        <v>0</v>
      </c>
      <c r="E31">
        <f>FirstRuns!D30+SecondRuns!D30</f>
        <v>0</v>
      </c>
      <c r="F31">
        <f>FirstRuns!E30+SecondRuns!E30</f>
        <v>0</v>
      </c>
      <c r="G31">
        <f>FirstRuns!F30+SecondRuns!F30</f>
        <v>0</v>
      </c>
      <c r="H31">
        <f>FirstRuns!G30+SecondRuns!G30</f>
        <v>0</v>
      </c>
      <c r="I31">
        <f>FirstRuns!H30+SecondRuns!H30</f>
        <v>0</v>
      </c>
      <c r="J31">
        <f>FirstRuns!I30+SecondRuns!I30</f>
        <v>0</v>
      </c>
      <c r="K31">
        <f>FirstRuns!J30+SecondRuns!J30</f>
        <v>0</v>
      </c>
      <c r="L31">
        <f>FirstRuns!K30+SecondRuns!K30</f>
        <v>0</v>
      </c>
      <c r="M31">
        <f t="shared" si="2"/>
        <v>0</v>
      </c>
      <c r="N31">
        <f t="shared" si="3"/>
        <v>0</v>
      </c>
      <c r="O31">
        <f t="shared" si="4"/>
        <v>0</v>
      </c>
      <c r="P31" s="2" t="e">
        <f t="shared" si="5"/>
        <v>#DIV/0!</v>
      </c>
      <c r="Q31" s="2" t="e">
        <f t="shared" si="6"/>
        <v>#DIV/0!</v>
      </c>
      <c r="R31" s="2" t="e">
        <f t="shared" si="7"/>
        <v>#DIV/0!</v>
      </c>
      <c r="S31">
        <f t="shared" si="8"/>
        <v>0</v>
      </c>
      <c r="T31">
        <f t="shared" si="9"/>
        <v>0</v>
      </c>
      <c r="U31">
        <f t="shared" si="10"/>
        <v>0</v>
      </c>
      <c r="V31">
        <f t="shared" si="11"/>
        <v>0</v>
      </c>
      <c r="W31">
        <f t="shared" si="12"/>
        <v>0</v>
      </c>
      <c r="X31">
        <f t="shared" si="13"/>
        <v>0</v>
      </c>
      <c r="Y31" t="e">
        <f t="shared" si="14"/>
        <v>#DIV/0!</v>
      </c>
      <c r="Z31" t="e">
        <f t="shared" si="15"/>
        <v>#DIV/0!</v>
      </c>
      <c r="AB31" t="e">
        <f t="shared" si="16"/>
        <v>#DIV/0!</v>
      </c>
      <c r="AC31" t="e">
        <f t="shared" si="17"/>
        <v>#DIV/0!</v>
      </c>
      <c r="AE31">
        <f t="shared" si="18"/>
        <v>0</v>
      </c>
    </row>
    <row r="32" spans="1:31" x14ac:dyDescent="0.25">
      <c r="A32">
        <f>FirstRuns!A31</f>
        <v>0</v>
      </c>
      <c r="B32">
        <f>SecondRuns!A31</f>
        <v>0</v>
      </c>
      <c r="C32">
        <f>FirstRuns!B31+SecondRuns!B31</f>
        <v>0</v>
      </c>
      <c r="D32">
        <f>FirstRuns!C31+SecondRuns!C31</f>
        <v>0</v>
      </c>
      <c r="E32">
        <f>FirstRuns!D31+SecondRuns!D31</f>
        <v>0</v>
      </c>
      <c r="F32">
        <f>FirstRuns!E31+SecondRuns!E31</f>
        <v>0</v>
      </c>
      <c r="G32">
        <f>FirstRuns!F31+SecondRuns!F31</f>
        <v>0</v>
      </c>
      <c r="H32">
        <f>FirstRuns!G31+SecondRuns!G31</f>
        <v>0</v>
      </c>
      <c r="I32">
        <f>FirstRuns!H31+SecondRuns!H31</f>
        <v>0</v>
      </c>
      <c r="J32">
        <f>FirstRuns!I31+SecondRuns!I31</f>
        <v>0</v>
      </c>
      <c r="K32">
        <f>FirstRuns!J31+SecondRuns!J31</f>
        <v>0</v>
      </c>
      <c r="L32">
        <f>FirstRuns!K31+SecondRuns!K31</f>
        <v>0</v>
      </c>
      <c r="M32">
        <f t="shared" si="2"/>
        <v>0</v>
      </c>
      <c r="N32">
        <f t="shared" si="3"/>
        <v>0</v>
      </c>
      <c r="O32">
        <f t="shared" si="4"/>
        <v>0</v>
      </c>
      <c r="P32" s="2" t="e">
        <f t="shared" si="5"/>
        <v>#DIV/0!</v>
      </c>
      <c r="Q32" s="2" t="e">
        <f t="shared" si="6"/>
        <v>#DIV/0!</v>
      </c>
      <c r="R32" s="2" t="e">
        <f t="shared" si="7"/>
        <v>#DIV/0!</v>
      </c>
      <c r="S32">
        <f t="shared" si="8"/>
        <v>0</v>
      </c>
      <c r="T32">
        <f t="shared" si="9"/>
        <v>0</v>
      </c>
      <c r="U32">
        <f t="shared" si="10"/>
        <v>0</v>
      </c>
      <c r="V32">
        <f t="shared" si="11"/>
        <v>0</v>
      </c>
      <c r="W32">
        <f t="shared" si="12"/>
        <v>0</v>
      </c>
      <c r="X32">
        <f t="shared" si="13"/>
        <v>0</v>
      </c>
      <c r="Y32" t="e">
        <f t="shared" si="14"/>
        <v>#DIV/0!</v>
      </c>
      <c r="Z32" t="e">
        <f t="shared" si="15"/>
        <v>#DIV/0!</v>
      </c>
      <c r="AB32" t="e">
        <f t="shared" si="16"/>
        <v>#DIV/0!</v>
      </c>
      <c r="AC32" t="e">
        <f t="shared" si="17"/>
        <v>#DIV/0!</v>
      </c>
      <c r="AE32">
        <f t="shared" si="18"/>
        <v>0</v>
      </c>
    </row>
    <row r="33" spans="1:31" x14ac:dyDescent="0.25">
      <c r="A33">
        <f>FirstRuns!A32</f>
        <v>0</v>
      </c>
      <c r="B33">
        <f>SecondRuns!A32</f>
        <v>0</v>
      </c>
      <c r="C33">
        <f>FirstRuns!B32+SecondRuns!B32</f>
        <v>0</v>
      </c>
      <c r="D33">
        <f>FirstRuns!C32+SecondRuns!C32</f>
        <v>0</v>
      </c>
      <c r="E33">
        <f>FirstRuns!D32+SecondRuns!D32</f>
        <v>0</v>
      </c>
      <c r="F33">
        <f>FirstRuns!E32+SecondRuns!E32</f>
        <v>0</v>
      </c>
      <c r="G33">
        <f>FirstRuns!F32+SecondRuns!F32</f>
        <v>0</v>
      </c>
      <c r="H33">
        <f>FirstRuns!G32+SecondRuns!G32</f>
        <v>0</v>
      </c>
      <c r="I33">
        <f>FirstRuns!H32+SecondRuns!H32</f>
        <v>0</v>
      </c>
      <c r="J33">
        <f>FirstRuns!I32+SecondRuns!I32</f>
        <v>0</v>
      </c>
      <c r="K33">
        <f>FirstRuns!J32+SecondRuns!J32</f>
        <v>0</v>
      </c>
      <c r="L33">
        <f>FirstRuns!K32+SecondRuns!K32</f>
        <v>0</v>
      </c>
      <c r="M33">
        <f>SUM(I33:J33)</f>
        <v>0</v>
      </c>
      <c r="N33">
        <f>SUM(G33,J33)</f>
        <v>0</v>
      </c>
      <c r="O33">
        <f>SUM(G33:J33)</f>
        <v>0</v>
      </c>
      <c r="P33" s="2" t="e">
        <f>S33/O33</f>
        <v>#DIV/0!</v>
      </c>
      <c r="Q33" s="2" t="e">
        <f>U33/O33</f>
        <v>#DIV/0!</v>
      </c>
      <c r="R33" s="2" t="e">
        <f>SUM(E33:F33)/SUM(C33:J33)</f>
        <v>#DIV/0!</v>
      </c>
      <c r="S33">
        <f t="shared" si="8"/>
        <v>0</v>
      </c>
      <c r="T33">
        <f>O33-S33</f>
        <v>0</v>
      </c>
      <c r="U33">
        <f t="shared" si="10"/>
        <v>0</v>
      </c>
      <c r="V33">
        <f>O33-U33</f>
        <v>0</v>
      </c>
      <c r="W33">
        <f>O33/2</f>
        <v>0</v>
      </c>
      <c r="X33">
        <f>W33</f>
        <v>0</v>
      </c>
      <c r="Y33" t="e">
        <f>_xlfn.CHISQ.TEST(S33:T33,W33:X33)</f>
        <v>#DIV/0!</v>
      </c>
      <c r="Z33" t="e">
        <f>_xlfn.CHISQ.TEST(U33:V33,W33:X33)</f>
        <v>#DIV/0!</v>
      </c>
      <c r="AB33" t="e">
        <f>Y33 &gt;$AA$2</f>
        <v>#DIV/0!</v>
      </c>
      <c r="AC33" t="e">
        <f>Z33 &gt;$AA$2</f>
        <v>#DIV/0!</v>
      </c>
      <c r="AE33">
        <f t="shared" si="18"/>
        <v>0</v>
      </c>
    </row>
    <row r="34" spans="1:31" x14ac:dyDescent="0.25">
      <c r="A34">
        <f>FirstRuns!A33</f>
        <v>0</v>
      </c>
      <c r="B34">
        <f>SecondRuns!A33</f>
        <v>0</v>
      </c>
      <c r="C34">
        <f>FirstRuns!B33+SecondRuns!B33</f>
        <v>0</v>
      </c>
      <c r="D34">
        <f>FirstRuns!C33+SecondRuns!C33</f>
        <v>0</v>
      </c>
      <c r="E34">
        <f>FirstRuns!D33+SecondRuns!D33</f>
        <v>0</v>
      </c>
      <c r="F34">
        <f>FirstRuns!E33+SecondRuns!E33</f>
        <v>0</v>
      </c>
      <c r="G34">
        <f>FirstRuns!F33+SecondRuns!F33</f>
        <v>0</v>
      </c>
      <c r="H34">
        <f>FirstRuns!G33+SecondRuns!G33</f>
        <v>0</v>
      </c>
      <c r="I34">
        <f>FirstRuns!H33+SecondRuns!H33</f>
        <v>0</v>
      </c>
      <c r="J34">
        <f>FirstRuns!I33+SecondRuns!I33</f>
        <v>0</v>
      </c>
      <c r="K34">
        <f>FirstRuns!J33+SecondRuns!J33</f>
        <v>0</v>
      </c>
      <c r="L34">
        <f>FirstRuns!K33+SecondRuns!K33</f>
        <v>0</v>
      </c>
      <c r="M34">
        <f t="shared" ref="M34:M52" si="36">SUM(I34:J34)</f>
        <v>0</v>
      </c>
      <c r="N34">
        <f t="shared" ref="N34:N52" si="37">SUM(G34,J34)</f>
        <v>0</v>
      </c>
      <c r="O34">
        <f t="shared" ref="O34:O52" si="38">SUM(G34:J34)</f>
        <v>0</v>
      </c>
      <c r="P34" s="2" t="e">
        <f t="shared" ref="P34:P52" si="39">S34/O34</f>
        <v>#DIV/0!</v>
      </c>
      <c r="Q34" s="2" t="e">
        <f t="shared" ref="Q34:Q52" si="40">U34/O34</f>
        <v>#DIV/0!</v>
      </c>
      <c r="R34" s="2" t="e">
        <f t="shared" ref="R34:R52" si="41">SUM(E34:F34)/SUM(C34:J34)</f>
        <v>#DIV/0!</v>
      </c>
      <c r="S34">
        <f t="shared" ref="S34:S79" si="42">M34</f>
        <v>0</v>
      </c>
      <c r="T34">
        <f t="shared" ref="T34:T52" si="43">O34-S34</f>
        <v>0</v>
      </c>
      <c r="U34">
        <f t="shared" ref="U34:U79" si="44">N34</f>
        <v>0</v>
      </c>
      <c r="V34">
        <f t="shared" ref="V34:V52" si="45">O34-U34</f>
        <v>0</v>
      </c>
      <c r="W34">
        <f t="shared" ref="W34:W52" si="46">O34/2</f>
        <v>0</v>
      </c>
      <c r="X34">
        <f t="shared" si="13"/>
        <v>0</v>
      </c>
      <c r="Y34" t="e">
        <f t="shared" ref="Y34:Y52" si="47">_xlfn.CHISQ.TEST(S34:T34,W34:X34)</f>
        <v>#DIV/0!</v>
      </c>
      <c r="Z34" t="e">
        <f t="shared" ref="Z34:Z52" si="48">_xlfn.CHISQ.TEST(U34:V34,W34:X34)</f>
        <v>#DIV/0!</v>
      </c>
      <c r="AB34" t="e">
        <f t="shared" ref="AB34:AB52" si="49">Y34 &gt;$AA$2</f>
        <v>#DIV/0!</v>
      </c>
      <c r="AC34" t="e">
        <f t="shared" ref="AC34:AC52" si="50">Z34 &gt;$AA$2</f>
        <v>#DIV/0!</v>
      </c>
      <c r="AE34">
        <f t="shared" si="18"/>
        <v>0</v>
      </c>
    </row>
    <row r="35" spans="1:31" x14ac:dyDescent="0.25">
      <c r="A35">
        <f>FirstRuns!A34</f>
        <v>0</v>
      </c>
      <c r="B35">
        <f>SecondRuns!A34</f>
        <v>0</v>
      </c>
      <c r="C35">
        <f>FirstRuns!B34+SecondRuns!B34</f>
        <v>0</v>
      </c>
      <c r="D35">
        <f>FirstRuns!C34+SecondRuns!C34</f>
        <v>0</v>
      </c>
      <c r="E35">
        <f>FirstRuns!D34+SecondRuns!D34</f>
        <v>0</v>
      </c>
      <c r="F35">
        <f>FirstRuns!E34+SecondRuns!E34</f>
        <v>0</v>
      </c>
      <c r="G35">
        <f>FirstRuns!F34+SecondRuns!F34</f>
        <v>0</v>
      </c>
      <c r="H35">
        <f>FirstRuns!G34+SecondRuns!G34</f>
        <v>0</v>
      </c>
      <c r="I35">
        <f>FirstRuns!H34+SecondRuns!H34</f>
        <v>0</v>
      </c>
      <c r="J35">
        <f>FirstRuns!I34+SecondRuns!I34</f>
        <v>0</v>
      </c>
      <c r="K35">
        <f>FirstRuns!J34+SecondRuns!J34</f>
        <v>0</v>
      </c>
      <c r="L35">
        <f>FirstRuns!K34+SecondRuns!K34</f>
        <v>0</v>
      </c>
      <c r="M35">
        <f t="shared" si="36"/>
        <v>0</v>
      </c>
      <c r="N35">
        <f t="shared" si="37"/>
        <v>0</v>
      </c>
      <c r="O35">
        <f t="shared" si="38"/>
        <v>0</v>
      </c>
      <c r="P35" s="2" t="e">
        <f t="shared" si="39"/>
        <v>#DIV/0!</v>
      </c>
      <c r="Q35" s="2" t="e">
        <f t="shared" si="40"/>
        <v>#DIV/0!</v>
      </c>
      <c r="R35" s="2" t="e">
        <f t="shared" si="41"/>
        <v>#DIV/0!</v>
      </c>
      <c r="S35">
        <f t="shared" si="42"/>
        <v>0</v>
      </c>
      <c r="T35">
        <f t="shared" si="43"/>
        <v>0</v>
      </c>
      <c r="U35">
        <f t="shared" si="44"/>
        <v>0</v>
      </c>
      <c r="V35">
        <f t="shared" si="45"/>
        <v>0</v>
      </c>
      <c r="W35">
        <f t="shared" si="46"/>
        <v>0</v>
      </c>
      <c r="X35">
        <f t="shared" si="13"/>
        <v>0</v>
      </c>
      <c r="Y35" t="e">
        <f t="shared" si="47"/>
        <v>#DIV/0!</v>
      </c>
      <c r="Z35" t="e">
        <f t="shared" si="48"/>
        <v>#DIV/0!</v>
      </c>
      <c r="AB35" t="e">
        <f t="shared" si="49"/>
        <v>#DIV/0!</v>
      </c>
      <c r="AC35" t="e">
        <f t="shared" si="50"/>
        <v>#DIV/0!</v>
      </c>
      <c r="AE35">
        <f t="shared" si="18"/>
        <v>0</v>
      </c>
    </row>
    <row r="36" spans="1:31" x14ac:dyDescent="0.25">
      <c r="A36">
        <f>FirstRuns!A35</f>
        <v>0</v>
      </c>
      <c r="B36">
        <f>SecondRuns!A35</f>
        <v>0</v>
      </c>
      <c r="C36">
        <f>FirstRuns!B35+SecondRuns!B35</f>
        <v>0</v>
      </c>
      <c r="D36">
        <f>FirstRuns!C35+SecondRuns!C35</f>
        <v>0</v>
      </c>
      <c r="E36">
        <f>FirstRuns!D35+SecondRuns!D35</f>
        <v>0</v>
      </c>
      <c r="F36">
        <f>FirstRuns!E35+SecondRuns!E35</f>
        <v>0</v>
      </c>
      <c r="G36">
        <f>FirstRuns!F35+SecondRuns!F35</f>
        <v>0</v>
      </c>
      <c r="H36">
        <f>FirstRuns!G35+SecondRuns!G35</f>
        <v>0</v>
      </c>
      <c r="I36">
        <f>FirstRuns!H35+SecondRuns!H35</f>
        <v>0</v>
      </c>
      <c r="J36">
        <f>FirstRuns!I35+SecondRuns!I35</f>
        <v>0</v>
      </c>
      <c r="K36">
        <f>FirstRuns!J35+SecondRuns!J35</f>
        <v>0</v>
      </c>
      <c r="L36">
        <f>FirstRuns!K35+SecondRuns!K35</f>
        <v>0</v>
      </c>
      <c r="M36">
        <f t="shared" si="36"/>
        <v>0</v>
      </c>
      <c r="N36">
        <f t="shared" si="37"/>
        <v>0</v>
      </c>
      <c r="O36">
        <f t="shared" si="38"/>
        <v>0</v>
      </c>
      <c r="P36" s="2" t="e">
        <f t="shared" si="39"/>
        <v>#DIV/0!</v>
      </c>
      <c r="Q36" s="2" t="e">
        <f t="shared" si="40"/>
        <v>#DIV/0!</v>
      </c>
      <c r="R36" s="2" t="e">
        <f t="shared" si="41"/>
        <v>#DIV/0!</v>
      </c>
      <c r="S36">
        <f t="shared" si="42"/>
        <v>0</v>
      </c>
      <c r="T36">
        <f t="shared" si="43"/>
        <v>0</v>
      </c>
      <c r="U36">
        <f t="shared" si="44"/>
        <v>0</v>
      </c>
      <c r="V36">
        <f t="shared" si="45"/>
        <v>0</v>
      </c>
      <c r="W36">
        <f t="shared" si="46"/>
        <v>0</v>
      </c>
      <c r="X36">
        <f t="shared" si="13"/>
        <v>0</v>
      </c>
      <c r="Y36" t="e">
        <f t="shared" si="47"/>
        <v>#DIV/0!</v>
      </c>
      <c r="Z36" t="e">
        <f t="shared" si="48"/>
        <v>#DIV/0!</v>
      </c>
      <c r="AB36" t="e">
        <f t="shared" si="49"/>
        <v>#DIV/0!</v>
      </c>
      <c r="AC36" t="e">
        <f t="shared" si="50"/>
        <v>#DIV/0!</v>
      </c>
      <c r="AE36">
        <f t="shared" si="18"/>
        <v>0</v>
      </c>
    </row>
    <row r="37" spans="1:31" x14ac:dyDescent="0.25">
      <c r="A37">
        <f>FirstRuns!A36</f>
        <v>0</v>
      </c>
      <c r="B37">
        <f>SecondRuns!A36</f>
        <v>0</v>
      </c>
      <c r="C37">
        <f>FirstRuns!B36+SecondRuns!B36</f>
        <v>0</v>
      </c>
      <c r="D37">
        <f>FirstRuns!C36+SecondRuns!C36</f>
        <v>0</v>
      </c>
      <c r="E37">
        <f>FirstRuns!D36+SecondRuns!D36</f>
        <v>0</v>
      </c>
      <c r="F37">
        <f>FirstRuns!E36+SecondRuns!E36</f>
        <v>0</v>
      </c>
      <c r="G37">
        <f>FirstRuns!F36+SecondRuns!F36</f>
        <v>0</v>
      </c>
      <c r="H37">
        <f>FirstRuns!G36+SecondRuns!G36</f>
        <v>0</v>
      </c>
      <c r="I37">
        <f>FirstRuns!H36+SecondRuns!H36</f>
        <v>0</v>
      </c>
      <c r="J37">
        <f>FirstRuns!I36+SecondRuns!I36</f>
        <v>0</v>
      </c>
      <c r="K37">
        <f>FirstRuns!J36+SecondRuns!J36</f>
        <v>0</v>
      </c>
      <c r="L37">
        <f>FirstRuns!K36+SecondRuns!K36</f>
        <v>0</v>
      </c>
      <c r="M37">
        <f t="shared" si="36"/>
        <v>0</v>
      </c>
      <c r="N37">
        <f t="shared" si="37"/>
        <v>0</v>
      </c>
      <c r="O37">
        <f t="shared" si="38"/>
        <v>0</v>
      </c>
      <c r="P37" s="2" t="e">
        <f t="shared" si="39"/>
        <v>#DIV/0!</v>
      </c>
      <c r="Q37" s="2" t="e">
        <f t="shared" si="40"/>
        <v>#DIV/0!</v>
      </c>
      <c r="R37" s="2" t="e">
        <f t="shared" si="41"/>
        <v>#DIV/0!</v>
      </c>
      <c r="S37">
        <f t="shared" si="42"/>
        <v>0</v>
      </c>
      <c r="T37">
        <f t="shared" si="43"/>
        <v>0</v>
      </c>
      <c r="U37">
        <f t="shared" si="44"/>
        <v>0</v>
      </c>
      <c r="V37">
        <f t="shared" si="45"/>
        <v>0</v>
      </c>
      <c r="W37">
        <f t="shared" si="46"/>
        <v>0</v>
      </c>
      <c r="X37">
        <f t="shared" si="13"/>
        <v>0</v>
      </c>
      <c r="Y37" t="e">
        <f t="shared" si="47"/>
        <v>#DIV/0!</v>
      </c>
      <c r="Z37" t="e">
        <f t="shared" si="48"/>
        <v>#DIV/0!</v>
      </c>
      <c r="AB37" t="e">
        <f t="shared" si="49"/>
        <v>#DIV/0!</v>
      </c>
      <c r="AC37" t="e">
        <f t="shared" si="50"/>
        <v>#DIV/0!</v>
      </c>
      <c r="AE37">
        <f t="shared" si="18"/>
        <v>0</v>
      </c>
    </row>
    <row r="38" spans="1:31" x14ac:dyDescent="0.25">
      <c r="A38">
        <f>FirstRuns!A37</f>
        <v>0</v>
      </c>
      <c r="B38">
        <f>SecondRuns!A37</f>
        <v>0</v>
      </c>
      <c r="C38">
        <f>FirstRuns!B37+SecondRuns!B37</f>
        <v>0</v>
      </c>
      <c r="D38">
        <f>FirstRuns!C37+SecondRuns!C37</f>
        <v>0</v>
      </c>
      <c r="E38">
        <f>FirstRuns!D37+SecondRuns!D37</f>
        <v>0</v>
      </c>
      <c r="F38">
        <f>FirstRuns!E37+SecondRuns!E37</f>
        <v>0</v>
      </c>
      <c r="G38">
        <f>FirstRuns!F37+SecondRuns!F37</f>
        <v>0</v>
      </c>
      <c r="H38">
        <f>FirstRuns!G37+SecondRuns!G37</f>
        <v>0</v>
      </c>
      <c r="I38">
        <f>FirstRuns!H37+SecondRuns!H37</f>
        <v>0</v>
      </c>
      <c r="J38">
        <f>FirstRuns!I37+SecondRuns!I37</f>
        <v>0</v>
      </c>
      <c r="K38">
        <f>FirstRuns!J37+SecondRuns!J37</f>
        <v>0</v>
      </c>
      <c r="L38">
        <f>FirstRuns!K37+SecondRuns!K37</f>
        <v>0</v>
      </c>
      <c r="M38">
        <f t="shared" si="36"/>
        <v>0</v>
      </c>
      <c r="N38">
        <f t="shared" si="37"/>
        <v>0</v>
      </c>
      <c r="O38">
        <f t="shared" si="38"/>
        <v>0</v>
      </c>
      <c r="P38" s="2" t="e">
        <f t="shared" si="39"/>
        <v>#DIV/0!</v>
      </c>
      <c r="Q38" s="2" t="e">
        <f t="shared" si="40"/>
        <v>#DIV/0!</v>
      </c>
      <c r="R38" s="2" t="e">
        <f t="shared" si="41"/>
        <v>#DIV/0!</v>
      </c>
      <c r="S38">
        <f t="shared" si="42"/>
        <v>0</v>
      </c>
      <c r="T38">
        <f t="shared" si="43"/>
        <v>0</v>
      </c>
      <c r="U38">
        <f t="shared" si="44"/>
        <v>0</v>
      </c>
      <c r="V38">
        <f t="shared" si="45"/>
        <v>0</v>
      </c>
      <c r="W38">
        <f t="shared" si="46"/>
        <v>0</v>
      </c>
      <c r="X38">
        <f t="shared" si="13"/>
        <v>0</v>
      </c>
      <c r="Y38" t="e">
        <f t="shared" si="47"/>
        <v>#DIV/0!</v>
      </c>
      <c r="Z38" t="e">
        <f t="shared" si="48"/>
        <v>#DIV/0!</v>
      </c>
      <c r="AB38" t="e">
        <f t="shared" si="49"/>
        <v>#DIV/0!</v>
      </c>
      <c r="AC38" t="e">
        <f t="shared" si="50"/>
        <v>#DIV/0!</v>
      </c>
      <c r="AE38">
        <f t="shared" si="18"/>
        <v>0</v>
      </c>
    </row>
    <row r="39" spans="1:31" x14ac:dyDescent="0.25">
      <c r="A39">
        <f>FirstRuns!A38</f>
        <v>0</v>
      </c>
      <c r="B39">
        <f>SecondRuns!A38</f>
        <v>0</v>
      </c>
      <c r="C39">
        <f>FirstRuns!B38+SecondRuns!B38</f>
        <v>0</v>
      </c>
      <c r="D39">
        <f>FirstRuns!C38+SecondRuns!C38</f>
        <v>0</v>
      </c>
      <c r="E39">
        <f>FirstRuns!D38+SecondRuns!D38</f>
        <v>0</v>
      </c>
      <c r="F39">
        <f>FirstRuns!E38+SecondRuns!E38</f>
        <v>0</v>
      </c>
      <c r="G39">
        <f>FirstRuns!F38+SecondRuns!F38</f>
        <v>0</v>
      </c>
      <c r="H39">
        <f>FirstRuns!G38+SecondRuns!G38</f>
        <v>0</v>
      </c>
      <c r="I39">
        <f>FirstRuns!H38+SecondRuns!H38</f>
        <v>0</v>
      </c>
      <c r="J39">
        <f>FirstRuns!I38+SecondRuns!I38</f>
        <v>0</v>
      </c>
      <c r="K39">
        <f>FirstRuns!J38+SecondRuns!J38</f>
        <v>0</v>
      </c>
      <c r="L39">
        <f>FirstRuns!K38+SecondRuns!K38</f>
        <v>0</v>
      </c>
      <c r="M39">
        <f t="shared" si="36"/>
        <v>0</v>
      </c>
      <c r="N39">
        <f t="shared" si="37"/>
        <v>0</v>
      </c>
      <c r="O39">
        <f t="shared" si="38"/>
        <v>0</v>
      </c>
      <c r="P39" s="2" t="e">
        <f t="shared" si="39"/>
        <v>#DIV/0!</v>
      </c>
      <c r="Q39" s="2" t="e">
        <f t="shared" si="40"/>
        <v>#DIV/0!</v>
      </c>
      <c r="R39" s="2" t="e">
        <f t="shared" si="41"/>
        <v>#DIV/0!</v>
      </c>
      <c r="S39">
        <f t="shared" si="42"/>
        <v>0</v>
      </c>
      <c r="T39">
        <f t="shared" si="43"/>
        <v>0</v>
      </c>
      <c r="U39">
        <f t="shared" si="44"/>
        <v>0</v>
      </c>
      <c r="V39">
        <f t="shared" si="45"/>
        <v>0</v>
      </c>
      <c r="W39">
        <f t="shared" si="46"/>
        <v>0</v>
      </c>
      <c r="X39">
        <f t="shared" si="13"/>
        <v>0</v>
      </c>
      <c r="Y39" t="e">
        <f t="shared" si="47"/>
        <v>#DIV/0!</v>
      </c>
      <c r="Z39" t="e">
        <f t="shared" si="48"/>
        <v>#DIV/0!</v>
      </c>
      <c r="AB39" t="e">
        <f t="shared" si="49"/>
        <v>#DIV/0!</v>
      </c>
      <c r="AC39" t="e">
        <f t="shared" si="50"/>
        <v>#DIV/0!</v>
      </c>
      <c r="AE39">
        <f t="shared" si="18"/>
        <v>0</v>
      </c>
    </row>
    <row r="40" spans="1:31" x14ac:dyDescent="0.25">
      <c r="A40">
        <f>FirstRuns!A39</f>
        <v>0</v>
      </c>
      <c r="B40">
        <f>SecondRuns!A39</f>
        <v>0</v>
      </c>
      <c r="C40">
        <f>FirstRuns!B39+SecondRuns!B39</f>
        <v>0</v>
      </c>
      <c r="D40">
        <f>FirstRuns!C39+SecondRuns!C39</f>
        <v>0</v>
      </c>
      <c r="E40">
        <f>FirstRuns!D39+SecondRuns!D39</f>
        <v>0</v>
      </c>
      <c r="F40">
        <f>FirstRuns!E39+SecondRuns!E39</f>
        <v>0</v>
      </c>
      <c r="G40">
        <f>FirstRuns!F39+SecondRuns!F39</f>
        <v>0</v>
      </c>
      <c r="H40">
        <f>FirstRuns!G39+SecondRuns!G39</f>
        <v>0</v>
      </c>
      <c r="I40">
        <f>FirstRuns!H39+SecondRuns!H39</f>
        <v>0</v>
      </c>
      <c r="J40">
        <f>FirstRuns!I39+SecondRuns!I39</f>
        <v>0</v>
      </c>
      <c r="K40">
        <f>FirstRuns!J39+SecondRuns!J39</f>
        <v>0</v>
      </c>
      <c r="L40">
        <f>FirstRuns!K39+SecondRuns!K39</f>
        <v>0</v>
      </c>
      <c r="M40">
        <f t="shared" si="36"/>
        <v>0</v>
      </c>
      <c r="N40">
        <f t="shared" si="37"/>
        <v>0</v>
      </c>
      <c r="O40">
        <f t="shared" si="38"/>
        <v>0</v>
      </c>
      <c r="P40" s="2" t="e">
        <f t="shared" si="39"/>
        <v>#DIV/0!</v>
      </c>
      <c r="Q40" s="2" t="e">
        <f t="shared" si="40"/>
        <v>#DIV/0!</v>
      </c>
      <c r="R40" s="2" t="e">
        <f t="shared" si="41"/>
        <v>#DIV/0!</v>
      </c>
      <c r="S40">
        <f t="shared" si="42"/>
        <v>0</v>
      </c>
      <c r="T40">
        <f t="shared" si="43"/>
        <v>0</v>
      </c>
      <c r="U40">
        <f t="shared" si="44"/>
        <v>0</v>
      </c>
      <c r="V40">
        <f t="shared" si="45"/>
        <v>0</v>
      </c>
      <c r="W40">
        <f t="shared" si="46"/>
        <v>0</v>
      </c>
      <c r="X40">
        <f t="shared" si="13"/>
        <v>0</v>
      </c>
      <c r="Y40" t="e">
        <f t="shared" si="47"/>
        <v>#DIV/0!</v>
      </c>
      <c r="Z40" t="e">
        <f t="shared" si="48"/>
        <v>#DIV/0!</v>
      </c>
      <c r="AB40" t="e">
        <f t="shared" si="49"/>
        <v>#DIV/0!</v>
      </c>
      <c r="AC40" t="e">
        <f t="shared" si="50"/>
        <v>#DIV/0!</v>
      </c>
      <c r="AE40">
        <f t="shared" si="18"/>
        <v>0</v>
      </c>
    </row>
    <row r="41" spans="1:31" x14ac:dyDescent="0.25">
      <c r="A41">
        <f>FirstRuns!A40</f>
        <v>0</v>
      </c>
      <c r="B41">
        <f>SecondRuns!A40</f>
        <v>0</v>
      </c>
      <c r="C41">
        <f>FirstRuns!B40+SecondRuns!B40</f>
        <v>0</v>
      </c>
      <c r="D41">
        <f>FirstRuns!C40+SecondRuns!C40</f>
        <v>0</v>
      </c>
      <c r="E41">
        <f>FirstRuns!D40+SecondRuns!D40</f>
        <v>0</v>
      </c>
      <c r="F41">
        <f>FirstRuns!E40+SecondRuns!E40</f>
        <v>0</v>
      </c>
      <c r="G41">
        <f>FirstRuns!F40+SecondRuns!F40</f>
        <v>0</v>
      </c>
      <c r="H41">
        <f>FirstRuns!G40+SecondRuns!G40</f>
        <v>0</v>
      </c>
      <c r="I41">
        <f>FirstRuns!H40+SecondRuns!H40</f>
        <v>0</v>
      </c>
      <c r="J41">
        <f>FirstRuns!I40+SecondRuns!I40</f>
        <v>0</v>
      </c>
      <c r="K41">
        <f>FirstRuns!J40+SecondRuns!J40</f>
        <v>0</v>
      </c>
      <c r="L41">
        <f>FirstRuns!K40+SecondRuns!K40</f>
        <v>0</v>
      </c>
      <c r="M41">
        <f t="shared" si="36"/>
        <v>0</v>
      </c>
      <c r="N41">
        <f t="shared" si="37"/>
        <v>0</v>
      </c>
      <c r="O41">
        <f t="shared" si="38"/>
        <v>0</v>
      </c>
      <c r="P41" s="2" t="e">
        <f t="shared" si="39"/>
        <v>#DIV/0!</v>
      </c>
      <c r="Q41" s="2" t="e">
        <f t="shared" si="40"/>
        <v>#DIV/0!</v>
      </c>
      <c r="R41" s="2" t="e">
        <f t="shared" si="41"/>
        <v>#DIV/0!</v>
      </c>
      <c r="S41">
        <f t="shared" si="42"/>
        <v>0</v>
      </c>
      <c r="T41">
        <f t="shared" si="43"/>
        <v>0</v>
      </c>
      <c r="U41">
        <f t="shared" si="44"/>
        <v>0</v>
      </c>
      <c r="V41">
        <f t="shared" si="45"/>
        <v>0</v>
      </c>
      <c r="W41">
        <f t="shared" si="46"/>
        <v>0</v>
      </c>
      <c r="X41">
        <f t="shared" si="13"/>
        <v>0</v>
      </c>
      <c r="Y41" t="e">
        <f t="shared" si="47"/>
        <v>#DIV/0!</v>
      </c>
      <c r="Z41" t="e">
        <f t="shared" si="48"/>
        <v>#DIV/0!</v>
      </c>
      <c r="AB41" t="e">
        <f t="shared" si="49"/>
        <v>#DIV/0!</v>
      </c>
      <c r="AC41" t="e">
        <f t="shared" si="50"/>
        <v>#DIV/0!</v>
      </c>
      <c r="AE41">
        <f t="shared" si="18"/>
        <v>0</v>
      </c>
    </row>
    <row r="42" spans="1:31" x14ac:dyDescent="0.25">
      <c r="A42">
        <f>FirstRuns!A41</f>
        <v>0</v>
      </c>
      <c r="B42">
        <f>SecondRuns!A41</f>
        <v>0</v>
      </c>
      <c r="C42">
        <f>FirstRuns!B41+SecondRuns!B41</f>
        <v>0</v>
      </c>
      <c r="D42">
        <f>FirstRuns!C41+SecondRuns!C41</f>
        <v>0</v>
      </c>
      <c r="E42">
        <f>FirstRuns!D41+SecondRuns!D41</f>
        <v>0</v>
      </c>
      <c r="F42">
        <f>FirstRuns!E41+SecondRuns!E41</f>
        <v>0</v>
      </c>
      <c r="G42">
        <f>FirstRuns!F41+SecondRuns!F41</f>
        <v>0</v>
      </c>
      <c r="H42">
        <f>FirstRuns!G41+SecondRuns!G41</f>
        <v>0</v>
      </c>
      <c r="I42">
        <f>FirstRuns!H41+SecondRuns!H41</f>
        <v>0</v>
      </c>
      <c r="J42">
        <f>FirstRuns!I41+SecondRuns!I41</f>
        <v>0</v>
      </c>
      <c r="K42">
        <f>FirstRuns!J41+SecondRuns!J41</f>
        <v>0</v>
      </c>
      <c r="L42">
        <f>FirstRuns!K41+SecondRuns!K41</f>
        <v>0</v>
      </c>
      <c r="M42">
        <f t="shared" si="36"/>
        <v>0</v>
      </c>
      <c r="N42">
        <f t="shared" si="37"/>
        <v>0</v>
      </c>
      <c r="O42">
        <f t="shared" si="38"/>
        <v>0</v>
      </c>
      <c r="P42" s="2" t="e">
        <f t="shared" si="39"/>
        <v>#DIV/0!</v>
      </c>
      <c r="Q42" s="2" t="e">
        <f t="shared" si="40"/>
        <v>#DIV/0!</v>
      </c>
      <c r="R42" s="2" t="e">
        <f t="shared" si="41"/>
        <v>#DIV/0!</v>
      </c>
      <c r="S42">
        <f t="shared" si="42"/>
        <v>0</v>
      </c>
      <c r="T42">
        <f t="shared" si="43"/>
        <v>0</v>
      </c>
      <c r="U42">
        <f t="shared" si="44"/>
        <v>0</v>
      </c>
      <c r="V42">
        <f t="shared" si="45"/>
        <v>0</v>
      </c>
      <c r="W42">
        <f t="shared" si="46"/>
        <v>0</v>
      </c>
      <c r="X42">
        <f t="shared" si="13"/>
        <v>0</v>
      </c>
      <c r="Y42" t="e">
        <f t="shared" si="47"/>
        <v>#DIV/0!</v>
      </c>
      <c r="Z42" t="e">
        <f t="shared" si="48"/>
        <v>#DIV/0!</v>
      </c>
      <c r="AB42" t="e">
        <f t="shared" si="49"/>
        <v>#DIV/0!</v>
      </c>
      <c r="AC42" t="e">
        <f t="shared" si="50"/>
        <v>#DIV/0!</v>
      </c>
      <c r="AE42">
        <f t="shared" si="18"/>
        <v>0</v>
      </c>
    </row>
    <row r="43" spans="1:31" x14ac:dyDescent="0.25">
      <c r="A43">
        <f>FirstRuns!A42</f>
        <v>0</v>
      </c>
      <c r="B43">
        <f>SecondRuns!A42</f>
        <v>0</v>
      </c>
      <c r="C43">
        <f>FirstRuns!B42+SecondRuns!B42</f>
        <v>0</v>
      </c>
      <c r="D43">
        <f>FirstRuns!C42+SecondRuns!C42</f>
        <v>0</v>
      </c>
      <c r="E43">
        <f>FirstRuns!D42+SecondRuns!D42</f>
        <v>0</v>
      </c>
      <c r="F43">
        <f>FirstRuns!E42+SecondRuns!E42</f>
        <v>0</v>
      </c>
      <c r="G43">
        <f>FirstRuns!F42+SecondRuns!F42</f>
        <v>0</v>
      </c>
      <c r="H43">
        <f>FirstRuns!G42+SecondRuns!G42</f>
        <v>0</v>
      </c>
      <c r="I43">
        <f>FirstRuns!H42+SecondRuns!H42</f>
        <v>0</v>
      </c>
      <c r="J43">
        <f>FirstRuns!I42+SecondRuns!I42</f>
        <v>0</v>
      </c>
      <c r="K43">
        <f>FirstRuns!J42+SecondRuns!J42</f>
        <v>0</v>
      </c>
      <c r="L43">
        <f>FirstRuns!K42+SecondRuns!K42</f>
        <v>0</v>
      </c>
      <c r="M43">
        <f t="shared" si="36"/>
        <v>0</v>
      </c>
      <c r="N43">
        <f t="shared" si="37"/>
        <v>0</v>
      </c>
      <c r="O43">
        <f t="shared" si="38"/>
        <v>0</v>
      </c>
      <c r="P43" s="2" t="e">
        <f t="shared" si="39"/>
        <v>#DIV/0!</v>
      </c>
      <c r="Q43" s="2" t="e">
        <f t="shared" si="40"/>
        <v>#DIV/0!</v>
      </c>
      <c r="R43" s="2" t="e">
        <f t="shared" si="41"/>
        <v>#DIV/0!</v>
      </c>
      <c r="S43">
        <f t="shared" si="42"/>
        <v>0</v>
      </c>
      <c r="T43">
        <f t="shared" si="43"/>
        <v>0</v>
      </c>
      <c r="U43">
        <f t="shared" si="44"/>
        <v>0</v>
      </c>
      <c r="V43">
        <f t="shared" si="45"/>
        <v>0</v>
      </c>
      <c r="W43">
        <f t="shared" si="46"/>
        <v>0</v>
      </c>
      <c r="X43">
        <f t="shared" si="13"/>
        <v>0</v>
      </c>
      <c r="Y43" t="e">
        <f t="shared" si="47"/>
        <v>#DIV/0!</v>
      </c>
      <c r="Z43" t="e">
        <f t="shared" si="48"/>
        <v>#DIV/0!</v>
      </c>
      <c r="AB43" t="e">
        <f t="shared" si="49"/>
        <v>#DIV/0!</v>
      </c>
      <c r="AC43" t="e">
        <f t="shared" si="50"/>
        <v>#DIV/0!</v>
      </c>
      <c r="AE43">
        <f t="shared" si="18"/>
        <v>0</v>
      </c>
    </row>
    <row r="44" spans="1:31" x14ac:dyDescent="0.25">
      <c r="A44">
        <f>FirstRuns!A43</f>
        <v>0</v>
      </c>
      <c r="B44">
        <f>SecondRuns!A43</f>
        <v>0</v>
      </c>
      <c r="C44">
        <f>FirstRuns!B43+SecondRuns!B43</f>
        <v>0</v>
      </c>
      <c r="D44">
        <f>FirstRuns!C43+SecondRuns!C43</f>
        <v>0</v>
      </c>
      <c r="E44">
        <f>FirstRuns!D43+SecondRuns!D43</f>
        <v>0</v>
      </c>
      <c r="F44">
        <f>FirstRuns!E43+SecondRuns!E43</f>
        <v>0</v>
      </c>
      <c r="G44">
        <f>FirstRuns!F43+SecondRuns!F43</f>
        <v>0</v>
      </c>
      <c r="H44">
        <f>FirstRuns!G43+SecondRuns!G43</f>
        <v>0</v>
      </c>
      <c r="I44">
        <f>FirstRuns!H43+SecondRuns!H43</f>
        <v>0</v>
      </c>
      <c r="J44">
        <f>FirstRuns!I43+SecondRuns!I43</f>
        <v>0</v>
      </c>
      <c r="K44">
        <f>FirstRuns!J43+SecondRuns!J43</f>
        <v>0</v>
      </c>
      <c r="L44">
        <f>FirstRuns!K43+SecondRuns!K43</f>
        <v>0</v>
      </c>
      <c r="M44">
        <f t="shared" si="36"/>
        <v>0</v>
      </c>
      <c r="N44">
        <f t="shared" si="37"/>
        <v>0</v>
      </c>
      <c r="O44">
        <f t="shared" si="38"/>
        <v>0</v>
      </c>
      <c r="P44" s="2" t="e">
        <f t="shared" si="39"/>
        <v>#DIV/0!</v>
      </c>
      <c r="Q44" s="2" t="e">
        <f t="shared" si="40"/>
        <v>#DIV/0!</v>
      </c>
      <c r="R44" s="2" t="e">
        <f t="shared" si="41"/>
        <v>#DIV/0!</v>
      </c>
      <c r="S44">
        <f t="shared" si="42"/>
        <v>0</v>
      </c>
      <c r="T44">
        <f t="shared" si="43"/>
        <v>0</v>
      </c>
      <c r="U44">
        <f t="shared" si="44"/>
        <v>0</v>
      </c>
      <c r="V44">
        <f t="shared" si="45"/>
        <v>0</v>
      </c>
      <c r="W44">
        <f t="shared" si="46"/>
        <v>0</v>
      </c>
      <c r="X44">
        <f t="shared" si="13"/>
        <v>0</v>
      </c>
      <c r="Y44" t="e">
        <f t="shared" si="47"/>
        <v>#DIV/0!</v>
      </c>
      <c r="Z44" t="e">
        <f t="shared" si="48"/>
        <v>#DIV/0!</v>
      </c>
      <c r="AB44" t="e">
        <f t="shared" si="49"/>
        <v>#DIV/0!</v>
      </c>
      <c r="AC44" t="e">
        <f t="shared" si="50"/>
        <v>#DIV/0!</v>
      </c>
      <c r="AE44">
        <f t="shared" si="18"/>
        <v>0</v>
      </c>
    </row>
    <row r="45" spans="1:31" x14ac:dyDescent="0.25">
      <c r="A45">
        <f>FirstRuns!A44</f>
        <v>0</v>
      </c>
      <c r="B45">
        <f>SecondRuns!A44</f>
        <v>0</v>
      </c>
      <c r="C45">
        <f>FirstRuns!B44+SecondRuns!B44</f>
        <v>0</v>
      </c>
      <c r="D45">
        <f>FirstRuns!C44+SecondRuns!C44</f>
        <v>0</v>
      </c>
      <c r="E45">
        <f>FirstRuns!D44+SecondRuns!D44</f>
        <v>0</v>
      </c>
      <c r="F45">
        <f>FirstRuns!E44+SecondRuns!E44</f>
        <v>0</v>
      </c>
      <c r="G45">
        <f>FirstRuns!F44+SecondRuns!F44</f>
        <v>0</v>
      </c>
      <c r="H45">
        <f>FirstRuns!G44+SecondRuns!G44</f>
        <v>0</v>
      </c>
      <c r="I45">
        <f>FirstRuns!H44+SecondRuns!H44</f>
        <v>0</v>
      </c>
      <c r="J45">
        <f>FirstRuns!I44+SecondRuns!I44</f>
        <v>0</v>
      </c>
      <c r="K45">
        <f>FirstRuns!J44+SecondRuns!J44</f>
        <v>0</v>
      </c>
      <c r="L45">
        <f>FirstRuns!K44+SecondRuns!K44</f>
        <v>0</v>
      </c>
      <c r="M45">
        <f t="shared" si="36"/>
        <v>0</v>
      </c>
      <c r="N45">
        <f t="shared" si="37"/>
        <v>0</v>
      </c>
      <c r="O45">
        <f t="shared" si="38"/>
        <v>0</v>
      </c>
      <c r="P45" s="2" t="e">
        <f t="shared" si="39"/>
        <v>#DIV/0!</v>
      </c>
      <c r="Q45" s="2" t="e">
        <f t="shared" si="40"/>
        <v>#DIV/0!</v>
      </c>
      <c r="R45" s="2" t="e">
        <f t="shared" si="41"/>
        <v>#DIV/0!</v>
      </c>
      <c r="S45">
        <f t="shared" si="42"/>
        <v>0</v>
      </c>
      <c r="T45">
        <f t="shared" si="43"/>
        <v>0</v>
      </c>
      <c r="U45">
        <f t="shared" si="44"/>
        <v>0</v>
      </c>
      <c r="V45">
        <f t="shared" si="45"/>
        <v>0</v>
      </c>
      <c r="W45">
        <f t="shared" si="46"/>
        <v>0</v>
      </c>
      <c r="X45">
        <f t="shared" si="13"/>
        <v>0</v>
      </c>
      <c r="Y45" t="e">
        <f t="shared" si="47"/>
        <v>#DIV/0!</v>
      </c>
      <c r="Z45" t="e">
        <f t="shared" si="48"/>
        <v>#DIV/0!</v>
      </c>
      <c r="AB45" t="e">
        <f t="shared" si="49"/>
        <v>#DIV/0!</v>
      </c>
      <c r="AC45" t="e">
        <f t="shared" si="50"/>
        <v>#DIV/0!</v>
      </c>
      <c r="AE45">
        <f t="shared" si="18"/>
        <v>0</v>
      </c>
    </row>
    <row r="46" spans="1:31" x14ac:dyDescent="0.25">
      <c r="A46">
        <f>FirstRuns!A45</f>
        <v>0</v>
      </c>
      <c r="B46">
        <f>SecondRuns!A45</f>
        <v>0</v>
      </c>
      <c r="C46">
        <f>FirstRuns!B45+SecondRuns!B45</f>
        <v>0</v>
      </c>
      <c r="D46">
        <f>FirstRuns!C45+SecondRuns!C45</f>
        <v>0</v>
      </c>
      <c r="E46">
        <f>FirstRuns!D45+SecondRuns!D45</f>
        <v>0</v>
      </c>
      <c r="F46">
        <f>FirstRuns!E45+SecondRuns!E45</f>
        <v>0</v>
      </c>
      <c r="G46">
        <f>FirstRuns!F45+SecondRuns!F45</f>
        <v>0</v>
      </c>
      <c r="H46">
        <f>FirstRuns!G45+SecondRuns!G45</f>
        <v>0</v>
      </c>
      <c r="I46">
        <f>FirstRuns!H45+SecondRuns!H45</f>
        <v>0</v>
      </c>
      <c r="J46">
        <f>FirstRuns!I45+SecondRuns!I45</f>
        <v>0</v>
      </c>
      <c r="K46">
        <f>FirstRuns!J45+SecondRuns!J45</f>
        <v>0</v>
      </c>
      <c r="L46">
        <f>FirstRuns!K45+SecondRuns!K45</f>
        <v>0</v>
      </c>
      <c r="M46">
        <f t="shared" si="36"/>
        <v>0</v>
      </c>
      <c r="N46">
        <f t="shared" si="37"/>
        <v>0</v>
      </c>
      <c r="O46">
        <f t="shared" si="38"/>
        <v>0</v>
      </c>
      <c r="P46" s="2" t="e">
        <f t="shared" si="39"/>
        <v>#DIV/0!</v>
      </c>
      <c r="Q46" s="2" t="e">
        <f t="shared" si="40"/>
        <v>#DIV/0!</v>
      </c>
      <c r="R46" s="2" t="e">
        <f t="shared" si="41"/>
        <v>#DIV/0!</v>
      </c>
      <c r="S46">
        <f t="shared" si="42"/>
        <v>0</v>
      </c>
      <c r="T46">
        <f t="shared" si="43"/>
        <v>0</v>
      </c>
      <c r="U46">
        <f t="shared" si="44"/>
        <v>0</v>
      </c>
      <c r="V46">
        <f t="shared" si="45"/>
        <v>0</v>
      </c>
      <c r="W46">
        <f t="shared" si="46"/>
        <v>0</v>
      </c>
      <c r="X46">
        <f t="shared" si="13"/>
        <v>0</v>
      </c>
      <c r="Y46" t="e">
        <f t="shared" si="47"/>
        <v>#DIV/0!</v>
      </c>
      <c r="Z46" t="e">
        <f t="shared" si="48"/>
        <v>#DIV/0!</v>
      </c>
      <c r="AB46" t="e">
        <f t="shared" si="49"/>
        <v>#DIV/0!</v>
      </c>
      <c r="AC46" t="e">
        <f t="shared" si="50"/>
        <v>#DIV/0!</v>
      </c>
      <c r="AE46">
        <f t="shared" si="18"/>
        <v>0</v>
      </c>
    </row>
    <row r="47" spans="1:31" x14ac:dyDescent="0.25">
      <c r="A47">
        <f>FirstRuns!A46</f>
        <v>0</v>
      </c>
      <c r="B47">
        <f>SecondRuns!A46</f>
        <v>0</v>
      </c>
      <c r="C47">
        <f>FirstRuns!B46+SecondRuns!B46</f>
        <v>0</v>
      </c>
      <c r="D47">
        <f>FirstRuns!C46+SecondRuns!C46</f>
        <v>0</v>
      </c>
      <c r="E47">
        <f>FirstRuns!D46+SecondRuns!D46</f>
        <v>0</v>
      </c>
      <c r="F47">
        <f>FirstRuns!E46+SecondRuns!E46</f>
        <v>0</v>
      </c>
      <c r="G47">
        <f>FirstRuns!F46+SecondRuns!F46</f>
        <v>0</v>
      </c>
      <c r="H47">
        <f>FirstRuns!G46+SecondRuns!G46</f>
        <v>0</v>
      </c>
      <c r="I47">
        <f>FirstRuns!H46+SecondRuns!H46</f>
        <v>0</v>
      </c>
      <c r="J47">
        <f>FirstRuns!I46+SecondRuns!I46</f>
        <v>0</v>
      </c>
      <c r="K47">
        <f>FirstRuns!J46+SecondRuns!J46</f>
        <v>0</v>
      </c>
      <c r="L47">
        <f>FirstRuns!K46+SecondRuns!K46</f>
        <v>0</v>
      </c>
      <c r="M47">
        <f t="shared" si="36"/>
        <v>0</v>
      </c>
      <c r="N47">
        <f t="shared" si="37"/>
        <v>0</v>
      </c>
      <c r="O47">
        <f t="shared" si="38"/>
        <v>0</v>
      </c>
      <c r="P47" s="2" t="e">
        <f t="shared" si="39"/>
        <v>#DIV/0!</v>
      </c>
      <c r="Q47" s="2" t="e">
        <f t="shared" si="40"/>
        <v>#DIV/0!</v>
      </c>
      <c r="R47" s="2" t="e">
        <f t="shared" si="41"/>
        <v>#DIV/0!</v>
      </c>
      <c r="S47">
        <f t="shared" si="42"/>
        <v>0</v>
      </c>
      <c r="T47">
        <f t="shared" si="43"/>
        <v>0</v>
      </c>
      <c r="U47">
        <f t="shared" si="44"/>
        <v>0</v>
      </c>
      <c r="V47">
        <f t="shared" si="45"/>
        <v>0</v>
      </c>
      <c r="W47">
        <f t="shared" si="46"/>
        <v>0</v>
      </c>
      <c r="X47">
        <f t="shared" si="13"/>
        <v>0</v>
      </c>
      <c r="Y47" t="e">
        <f t="shared" si="47"/>
        <v>#DIV/0!</v>
      </c>
      <c r="Z47" t="e">
        <f t="shared" si="48"/>
        <v>#DIV/0!</v>
      </c>
      <c r="AB47" t="e">
        <f t="shared" si="49"/>
        <v>#DIV/0!</v>
      </c>
      <c r="AC47" t="e">
        <f t="shared" si="50"/>
        <v>#DIV/0!</v>
      </c>
      <c r="AE47">
        <f t="shared" si="18"/>
        <v>0</v>
      </c>
    </row>
    <row r="48" spans="1:31" x14ac:dyDescent="0.25">
      <c r="A48">
        <f>FirstRuns!A47</f>
        <v>0</v>
      </c>
      <c r="B48">
        <f>SecondRuns!A47</f>
        <v>0</v>
      </c>
      <c r="C48">
        <f>FirstRuns!B47+SecondRuns!B47</f>
        <v>0</v>
      </c>
      <c r="D48">
        <f>FirstRuns!C47+SecondRuns!C47</f>
        <v>0</v>
      </c>
      <c r="E48">
        <f>FirstRuns!D47+SecondRuns!D47</f>
        <v>0</v>
      </c>
      <c r="F48">
        <f>FirstRuns!E47+SecondRuns!E47</f>
        <v>0</v>
      </c>
      <c r="G48">
        <f>FirstRuns!F47+SecondRuns!F47</f>
        <v>0</v>
      </c>
      <c r="H48">
        <f>FirstRuns!G47+SecondRuns!G47</f>
        <v>0</v>
      </c>
      <c r="I48">
        <f>FirstRuns!H47+SecondRuns!H47</f>
        <v>0</v>
      </c>
      <c r="J48">
        <f>FirstRuns!I47+SecondRuns!I47</f>
        <v>0</v>
      </c>
      <c r="K48">
        <f>FirstRuns!J47+SecondRuns!J47</f>
        <v>0</v>
      </c>
      <c r="L48">
        <f>FirstRuns!K47+SecondRuns!K47</f>
        <v>0</v>
      </c>
      <c r="M48">
        <f t="shared" si="36"/>
        <v>0</v>
      </c>
      <c r="N48">
        <f t="shared" si="37"/>
        <v>0</v>
      </c>
      <c r="O48">
        <f t="shared" si="38"/>
        <v>0</v>
      </c>
      <c r="P48" s="2" t="e">
        <f t="shared" si="39"/>
        <v>#DIV/0!</v>
      </c>
      <c r="Q48" s="2" t="e">
        <f t="shared" si="40"/>
        <v>#DIV/0!</v>
      </c>
      <c r="R48" s="2" t="e">
        <f t="shared" si="41"/>
        <v>#DIV/0!</v>
      </c>
      <c r="S48">
        <f t="shared" si="42"/>
        <v>0</v>
      </c>
      <c r="T48">
        <f t="shared" si="43"/>
        <v>0</v>
      </c>
      <c r="U48">
        <f t="shared" si="44"/>
        <v>0</v>
      </c>
      <c r="V48">
        <f t="shared" si="45"/>
        <v>0</v>
      </c>
      <c r="W48">
        <f t="shared" si="46"/>
        <v>0</v>
      </c>
      <c r="X48">
        <f t="shared" si="13"/>
        <v>0</v>
      </c>
      <c r="Y48" t="e">
        <f t="shared" si="47"/>
        <v>#DIV/0!</v>
      </c>
      <c r="Z48" t="e">
        <f t="shared" si="48"/>
        <v>#DIV/0!</v>
      </c>
      <c r="AB48" t="e">
        <f t="shared" si="49"/>
        <v>#DIV/0!</v>
      </c>
      <c r="AC48" t="e">
        <f t="shared" si="50"/>
        <v>#DIV/0!</v>
      </c>
      <c r="AE48">
        <f t="shared" si="18"/>
        <v>0</v>
      </c>
    </row>
    <row r="49" spans="1:31" x14ac:dyDescent="0.25">
      <c r="A49">
        <f>FirstRuns!A48</f>
        <v>0</v>
      </c>
      <c r="B49">
        <f>SecondRuns!A48</f>
        <v>0</v>
      </c>
      <c r="C49">
        <f>FirstRuns!B48+SecondRuns!B48</f>
        <v>0</v>
      </c>
      <c r="D49">
        <f>FirstRuns!C48+SecondRuns!C48</f>
        <v>0</v>
      </c>
      <c r="E49">
        <f>FirstRuns!D48+SecondRuns!D48</f>
        <v>0</v>
      </c>
      <c r="F49">
        <f>FirstRuns!E48+SecondRuns!E48</f>
        <v>0</v>
      </c>
      <c r="G49">
        <f>FirstRuns!F48+SecondRuns!F48</f>
        <v>0</v>
      </c>
      <c r="H49">
        <f>FirstRuns!G48+SecondRuns!G48</f>
        <v>0</v>
      </c>
      <c r="I49">
        <f>FirstRuns!H48+SecondRuns!H48</f>
        <v>0</v>
      </c>
      <c r="J49">
        <f>FirstRuns!I48+SecondRuns!I48</f>
        <v>0</v>
      </c>
      <c r="K49">
        <f>FirstRuns!J48+SecondRuns!J48</f>
        <v>0</v>
      </c>
      <c r="L49">
        <f>FirstRuns!K48+SecondRuns!K48</f>
        <v>0</v>
      </c>
      <c r="M49">
        <f t="shared" si="36"/>
        <v>0</v>
      </c>
      <c r="N49">
        <f t="shared" si="37"/>
        <v>0</v>
      </c>
      <c r="O49">
        <f t="shared" si="38"/>
        <v>0</v>
      </c>
      <c r="P49" s="2" t="e">
        <f t="shared" si="39"/>
        <v>#DIV/0!</v>
      </c>
      <c r="Q49" s="2" t="e">
        <f t="shared" si="40"/>
        <v>#DIV/0!</v>
      </c>
      <c r="R49" s="2" t="e">
        <f t="shared" si="41"/>
        <v>#DIV/0!</v>
      </c>
      <c r="S49">
        <f t="shared" si="42"/>
        <v>0</v>
      </c>
      <c r="T49">
        <f t="shared" si="43"/>
        <v>0</v>
      </c>
      <c r="U49">
        <f t="shared" si="44"/>
        <v>0</v>
      </c>
      <c r="V49">
        <f t="shared" si="45"/>
        <v>0</v>
      </c>
      <c r="W49">
        <f t="shared" si="46"/>
        <v>0</v>
      </c>
      <c r="X49">
        <f t="shared" si="13"/>
        <v>0</v>
      </c>
      <c r="Y49" t="e">
        <f t="shared" si="47"/>
        <v>#DIV/0!</v>
      </c>
      <c r="Z49" t="e">
        <f t="shared" si="48"/>
        <v>#DIV/0!</v>
      </c>
      <c r="AB49" t="e">
        <f t="shared" si="49"/>
        <v>#DIV/0!</v>
      </c>
      <c r="AC49" t="e">
        <f t="shared" si="50"/>
        <v>#DIV/0!</v>
      </c>
      <c r="AE49">
        <f t="shared" si="18"/>
        <v>0</v>
      </c>
    </row>
    <row r="50" spans="1:31" x14ac:dyDescent="0.25">
      <c r="A50">
        <f>FirstRuns!A49</f>
        <v>0</v>
      </c>
      <c r="B50">
        <f>SecondRuns!A49</f>
        <v>0</v>
      </c>
      <c r="C50">
        <f>FirstRuns!B49+SecondRuns!B49</f>
        <v>0</v>
      </c>
      <c r="D50">
        <f>FirstRuns!C49+SecondRuns!C49</f>
        <v>0</v>
      </c>
      <c r="E50">
        <f>FirstRuns!D49+SecondRuns!D49</f>
        <v>0</v>
      </c>
      <c r="F50">
        <f>FirstRuns!E49+SecondRuns!E49</f>
        <v>0</v>
      </c>
      <c r="G50">
        <f>FirstRuns!F49+SecondRuns!F49</f>
        <v>0</v>
      </c>
      <c r="H50">
        <f>FirstRuns!G49+SecondRuns!G49</f>
        <v>0</v>
      </c>
      <c r="I50">
        <f>FirstRuns!H49+SecondRuns!H49</f>
        <v>0</v>
      </c>
      <c r="J50">
        <f>FirstRuns!I49+SecondRuns!I49</f>
        <v>0</v>
      </c>
      <c r="K50">
        <f>FirstRuns!J49+SecondRuns!J49</f>
        <v>0</v>
      </c>
      <c r="L50">
        <f>FirstRuns!K49+SecondRuns!K49</f>
        <v>0</v>
      </c>
      <c r="M50">
        <f t="shared" si="36"/>
        <v>0</v>
      </c>
      <c r="N50">
        <f t="shared" si="37"/>
        <v>0</v>
      </c>
      <c r="O50">
        <f t="shared" si="38"/>
        <v>0</v>
      </c>
      <c r="P50" s="2" t="e">
        <f t="shared" si="39"/>
        <v>#DIV/0!</v>
      </c>
      <c r="Q50" s="2" t="e">
        <f t="shared" si="40"/>
        <v>#DIV/0!</v>
      </c>
      <c r="R50" s="2" t="e">
        <f t="shared" si="41"/>
        <v>#DIV/0!</v>
      </c>
      <c r="S50">
        <f t="shared" si="42"/>
        <v>0</v>
      </c>
      <c r="T50">
        <f t="shared" si="43"/>
        <v>0</v>
      </c>
      <c r="U50">
        <f t="shared" si="44"/>
        <v>0</v>
      </c>
      <c r="V50">
        <f t="shared" si="45"/>
        <v>0</v>
      </c>
      <c r="W50">
        <f t="shared" si="46"/>
        <v>0</v>
      </c>
      <c r="X50">
        <f t="shared" si="13"/>
        <v>0</v>
      </c>
      <c r="Y50" t="e">
        <f t="shared" si="47"/>
        <v>#DIV/0!</v>
      </c>
      <c r="Z50" t="e">
        <f t="shared" si="48"/>
        <v>#DIV/0!</v>
      </c>
      <c r="AB50" t="e">
        <f t="shared" si="49"/>
        <v>#DIV/0!</v>
      </c>
      <c r="AC50" t="e">
        <f t="shared" si="50"/>
        <v>#DIV/0!</v>
      </c>
      <c r="AE50">
        <f t="shared" si="18"/>
        <v>0</v>
      </c>
    </row>
    <row r="51" spans="1:31" x14ac:dyDescent="0.25">
      <c r="A51">
        <f>FirstRuns!A50</f>
        <v>0</v>
      </c>
      <c r="B51">
        <f>SecondRuns!A50</f>
        <v>0</v>
      </c>
      <c r="C51">
        <f>FirstRuns!B50+SecondRuns!B50</f>
        <v>0</v>
      </c>
      <c r="D51">
        <f>FirstRuns!C50+SecondRuns!C50</f>
        <v>0</v>
      </c>
      <c r="E51">
        <f>FirstRuns!D50+SecondRuns!D50</f>
        <v>0</v>
      </c>
      <c r="F51">
        <f>FirstRuns!E50+SecondRuns!E50</f>
        <v>0</v>
      </c>
      <c r="G51">
        <f>FirstRuns!F50+SecondRuns!F50</f>
        <v>0</v>
      </c>
      <c r="H51">
        <f>FirstRuns!G50+SecondRuns!G50</f>
        <v>0</v>
      </c>
      <c r="I51">
        <f>FirstRuns!H50+SecondRuns!H50</f>
        <v>0</v>
      </c>
      <c r="J51">
        <f>FirstRuns!I50+SecondRuns!I50</f>
        <v>0</v>
      </c>
      <c r="K51">
        <f>FirstRuns!J50+SecondRuns!J50</f>
        <v>0</v>
      </c>
      <c r="L51">
        <f>FirstRuns!K50+SecondRuns!K50</f>
        <v>0</v>
      </c>
      <c r="M51">
        <f t="shared" si="36"/>
        <v>0</v>
      </c>
      <c r="N51">
        <f t="shared" si="37"/>
        <v>0</v>
      </c>
      <c r="O51">
        <f t="shared" si="38"/>
        <v>0</v>
      </c>
      <c r="P51" s="2" t="e">
        <f t="shared" si="39"/>
        <v>#DIV/0!</v>
      </c>
      <c r="Q51" s="2" t="e">
        <f t="shared" si="40"/>
        <v>#DIV/0!</v>
      </c>
      <c r="R51" s="2" t="e">
        <f t="shared" si="41"/>
        <v>#DIV/0!</v>
      </c>
      <c r="S51">
        <f t="shared" si="42"/>
        <v>0</v>
      </c>
      <c r="T51">
        <f t="shared" si="43"/>
        <v>0</v>
      </c>
      <c r="U51">
        <f t="shared" si="44"/>
        <v>0</v>
      </c>
      <c r="V51">
        <f t="shared" si="45"/>
        <v>0</v>
      </c>
      <c r="W51">
        <f t="shared" si="46"/>
        <v>0</v>
      </c>
      <c r="X51">
        <f t="shared" si="13"/>
        <v>0</v>
      </c>
      <c r="Y51" t="e">
        <f t="shared" si="47"/>
        <v>#DIV/0!</v>
      </c>
      <c r="Z51" t="e">
        <f t="shared" si="48"/>
        <v>#DIV/0!</v>
      </c>
      <c r="AB51" t="e">
        <f t="shared" si="49"/>
        <v>#DIV/0!</v>
      </c>
      <c r="AC51" t="e">
        <f t="shared" si="50"/>
        <v>#DIV/0!</v>
      </c>
      <c r="AE51">
        <f t="shared" si="18"/>
        <v>0</v>
      </c>
    </row>
    <row r="52" spans="1:31" x14ac:dyDescent="0.25">
      <c r="A52">
        <f>FirstRuns!A51</f>
        <v>0</v>
      </c>
      <c r="B52">
        <f>SecondRuns!A51</f>
        <v>0</v>
      </c>
      <c r="C52">
        <f>FirstRuns!B51+SecondRuns!B51</f>
        <v>0</v>
      </c>
      <c r="D52">
        <f>FirstRuns!C51+SecondRuns!C51</f>
        <v>0</v>
      </c>
      <c r="E52">
        <f>FirstRuns!D51+SecondRuns!D51</f>
        <v>0</v>
      </c>
      <c r="F52">
        <f>FirstRuns!E51+SecondRuns!E51</f>
        <v>0</v>
      </c>
      <c r="G52">
        <f>FirstRuns!F51+SecondRuns!F51</f>
        <v>0</v>
      </c>
      <c r="H52">
        <f>FirstRuns!G51+SecondRuns!G51</f>
        <v>0</v>
      </c>
      <c r="I52">
        <f>FirstRuns!H51+SecondRuns!H51</f>
        <v>0</v>
      </c>
      <c r="J52">
        <f>FirstRuns!I51+SecondRuns!I51</f>
        <v>0</v>
      </c>
      <c r="K52">
        <f>FirstRuns!J51+SecondRuns!J51</f>
        <v>0</v>
      </c>
      <c r="L52">
        <f>FirstRuns!K51+SecondRuns!K51</f>
        <v>0</v>
      </c>
      <c r="M52">
        <f t="shared" si="36"/>
        <v>0</v>
      </c>
      <c r="N52">
        <f t="shared" si="37"/>
        <v>0</v>
      </c>
      <c r="O52">
        <f t="shared" si="38"/>
        <v>0</v>
      </c>
      <c r="P52" s="2" t="e">
        <f t="shared" si="39"/>
        <v>#DIV/0!</v>
      </c>
      <c r="Q52" s="2" t="e">
        <f t="shared" si="40"/>
        <v>#DIV/0!</v>
      </c>
      <c r="R52" s="2" t="e">
        <f t="shared" si="41"/>
        <v>#DIV/0!</v>
      </c>
      <c r="S52">
        <f t="shared" si="42"/>
        <v>0</v>
      </c>
      <c r="T52">
        <f t="shared" si="43"/>
        <v>0</v>
      </c>
      <c r="U52">
        <f t="shared" si="44"/>
        <v>0</v>
      </c>
      <c r="V52">
        <f t="shared" si="45"/>
        <v>0</v>
      </c>
      <c r="W52">
        <f t="shared" si="46"/>
        <v>0</v>
      </c>
      <c r="X52">
        <f t="shared" si="13"/>
        <v>0</v>
      </c>
      <c r="Y52" t="e">
        <f t="shared" si="47"/>
        <v>#DIV/0!</v>
      </c>
      <c r="Z52" t="e">
        <f t="shared" si="48"/>
        <v>#DIV/0!</v>
      </c>
      <c r="AB52" t="e">
        <f t="shared" si="49"/>
        <v>#DIV/0!</v>
      </c>
      <c r="AC52" t="e">
        <f t="shared" si="50"/>
        <v>#DIV/0!</v>
      </c>
      <c r="AE52">
        <f t="shared" si="18"/>
        <v>0</v>
      </c>
    </row>
    <row r="53" spans="1:31" x14ac:dyDescent="0.25">
      <c r="A53">
        <f>FirstRuns!A52</f>
        <v>0</v>
      </c>
      <c r="B53">
        <f>SecondRuns!A52</f>
        <v>0</v>
      </c>
      <c r="C53">
        <f>FirstRuns!B52+SecondRuns!B52</f>
        <v>0</v>
      </c>
      <c r="D53">
        <f>FirstRuns!C52+SecondRuns!C52</f>
        <v>0</v>
      </c>
      <c r="E53">
        <f>FirstRuns!D52+SecondRuns!D52</f>
        <v>0</v>
      </c>
      <c r="F53">
        <f>FirstRuns!E52+SecondRuns!E52</f>
        <v>0</v>
      </c>
      <c r="G53">
        <f>FirstRuns!F52+SecondRuns!F52</f>
        <v>0</v>
      </c>
      <c r="H53">
        <f>FirstRuns!G52+SecondRuns!G52</f>
        <v>0</v>
      </c>
      <c r="I53">
        <f>FirstRuns!H52+SecondRuns!H52</f>
        <v>0</v>
      </c>
      <c r="J53">
        <f>FirstRuns!I52+SecondRuns!I52</f>
        <v>0</v>
      </c>
      <c r="K53">
        <f>FirstRuns!J52+SecondRuns!J52</f>
        <v>0</v>
      </c>
      <c r="L53">
        <f>FirstRuns!K52+SecondRuns!K52</f>
        <v>0</v>
      </c>
      <c r="M53">
        <f>SUM(I53:J53)</f>
        <v>0</v>
      </c>
      <c r="N53">
        <f>SUM(G53,J53)</f>
        <v>0</v>
      </c>
      <c r="O53">
        <f>SUM(G53:J53)</f>
        <v>0</v>
      </c>
      <c r="P53" s="2" t="e">
        <f>S53/O53</f>
        <v>#DIV/0!</v>
      </c>
      <c r="Q53" s="2" t="e">
        <f>U53/O53</f>
        <v>#DIV/0!</v>
      </c>
      <c r="R53" s="2" t="e">
        <f>SUM(E53:F53)/SUM(C53:J53)</f>
        <v>#DIV/0!</v>
      </c>
      <c r="S53">
        <f t="shared" si="42"/>
        <v>0</v>
      </c>
      <c r="T53">
        <f>O53-S53</f>
        <v>0</v>
      </c>
      <c r="U53">
        <f t="shared" si="44"/>
        <v>0</v>
      </c>
      <c r="V53">
        <f>O53-U53</f>
        <v>0</v>
      </c>
      <c r="W53">
        <f>O53/2</f>
        <v>0</v>
      </c>
      <c r="X53">
        <f>W53</f>
        <v>0</v>
      </c>
      <c r="Y53" t="e">
        <f>_xlfn.CHISQ.TEST(S53:T53,W53:X53)</f>
        <v>#DIV/0!</v>
      </c>
      <c r="Z53" t="e">
        <f>_xlfn.CHISQ.TEST(U53:V53,W53:X53)</f>
        <v>#DIV/0!</v>
      </c>
      <c r="AB53" t="e">
        <f>Y53 &gt;$AA$2</f>
        <v>#DIV/0!</v>
      </c>
      <c r="AC53" t="e">
        <f>Z53 &gt;$AA$2</f>
        <v>#DIV/0!</v>
      </c>
      <c r="AE53">
        <f t="shared" si="18"/>
        <v>0</v>
      </c>
    </row>
    <row r="54" spans="1:31" x14ac:dyDescent="0.25">
      <c r="A54">
        <f>FirstRuns!A53</f>
        <v>0</v>
      </c>
      <c r="B54">
        <f>SecondRuns!A53</f>
        <v>0</v>
      </c>
      <c r="C54">
        <f>FirstRuns!B53+SecondRuns!B53</f>
        <v>0</v>
      </c>
      <c r="D54">
        <f>FirstRuns!C53+SecondRuns!C53</f>
        <v>0</v>
      </c>
      <c r="E54">
        <f>FirstRuns!D53+SecondRuns!D53</f>
        <v>0</v>
      </c>
      <c r="F54">
        <f>FirstRuns!E53+SecondRuns!E53</f>
        <v>0</v>
      </c>
      <c r="G54">
        <f>FirstRuns!F53+SecondRuns!F53</f>
        <v>0</v>
      </c>
      <c r="H54">
        <f>FirstRuns!G53+SecondRuns!G53</f>
        <v>0</v>
      </c>
      <c r="I54">
        <f>FirstRuns!H53+SecondRuns!H53</f>
        <v>0</v>
      </c>
      <c r="J54">
        <f>FirstRuns!I53+SecondRuns!I53</f>
        <v>0</v>
      </c>
      <c r="K54">
        <f>FirstRuns!J53+SecondRuns!J53</f>
        <v>0</v>
      </c>
      <c r="L54">
        <f>FirstRuns!K53+SecondRuns!K53</f>
        <v>0</v>
      </c>
      <c r="M54">
        <f t="shared" ref="M54:M66" si="51">SUM(I54:J54)</f>
        <v>0</v>
      </c>
      <c r="N54">
        <f t="shared" ref="N54:N66" si="52">SUM(G54,J54)</f>
        <v>0</v>
      </c>
      <c r="O54">
        <f t="shared" ref="O54:O66" si="53">SUM(G54:J54)</f>
        <v>0</v>
      </c>
      <c r="P54" s="2" t="e">
        <f t="shared" ref="P54:P66" si="54">S54/O54</f>
        <v>#DIV/0!</v>
      </c>
      <c r="Q54" s="2" t="e">
        <f t="shared" ref="Q54:Q66" si="55">U54/O54</f>
        <v>#DIV/0!</v>
      </c>
      <c r="R54" s="2" t="e">
        <f t="shared" ref="R54:R66" si="56">SUM(E54:F54)/SUM(C54:J54)</f>
        <v>#DIV/0!</v>
      </c>
      <c r="S54">
        <f t="shared" si="42"/>
        <v>0</v>
      </c>
      <c r="T54">
        <f t="shared" ref="T54:T66" si="57">O54-S54</f>
        <v>0</v>
      </c>
      <c r="U54">
        <f t="shared" si="44"/>
        <v>0</v>
      </c>
      <c r="V54">
        <f t="shared" ref="V54:V66" si="58">O54-U54</f>
        <v>0</v>
      </c>
      <c r="W54">
        <f t="shared" ref="W54:W66" si="59">O54/2</f>
        <v>0</v>
      </c>
      <c r="X54">
        <f t="shared" si="13"/>
        <v>0</v>
      </c>
      <c r="Y54" t="e">
        <f t="shared" ref="Y54:Y66" si="60">_xlfn.CHISQ.TEST(S54:T54,W54:X54)</f>
        <v>#DIV/0!</v>
      </c>
      <c r="Z54" t="e">
        <f t="shared" ref="Z54:Z66" si="61">_xlfn.CHISQ.TEST(U54:V54,W54:X54)</f>
        <v>#DIV/0!</v>
      </c>
      <c r="AB54" t="e">
        <f t="shared" ref="AB54:AB66" si="62">Y54 &gt;$AA$2</f>
        <v>#DIV/0!</v>
      </c>
      <c r="AC54" t="e">
        <f t="shared" ref="AC54:AC66" si="63">Z54 &gt;$AA$2</f>
        <v>#DIV/0!</v>
      </c>
      <c r="AE54">
        <f t="shared" si="18"/>
        <v>0</v>
      </c>
    </row>
    <row r="55" spans="1:31" x14ac:dyDescent="0.25">
      <c r="A55">
        <f>FirstRuns!A54</f>
        <v>0</v>
      </c>
      <c r="B55">
        <f>SecondRuns!A54</f>
        <v>0</v>
      </c>
      <c r="C55">
        <f>FirstRuns!B54+SecondRuns!B54</f>
        <v>0</v>
      </c>
      <c r="D55">
        <f>FirstRuns!C54+SecondRuns!C54</f>
        <v>0</v>
      </c>
      <c r="E55">
        <f>FirstRuns!D54+SecondRuns!D54</f>
        <v>0</v>
      </c>
      <c r="F55">
        <f>FirstRuns!E54+SecondRuns!E54</f>
        <v>0</v>
      </c>
      <c r="G55">
        <f>FirstRuns!F54+SecondRuns!F54</f>
        <v>0</v>
      </c>
      <c r="H55">
        <f>FirstRuns!G54+SecondRuns!G54</f>
        <v>0</v>
      </c>
      <c r="I55">
        <f>FirstRuns!H54+SecondRuns!H54</f>
        <v>0</v>
      </c>
      <c r="J55">
        <f>FirstRuns!I54+SecondRuns!I54</f>
        <v>0</v>
      </c>
      <c r="K55">
        <f>FirstRuns!J54+SecondRuns!J54</f>
        <v>0</v>
      </c>
      <c r="L55">
        <f>FirstRuns!K54+SecondRuns!K54</f>
        <v>0</v>
      </c>
      <c r="M55">
        <f t="shared" si="51"/>
        <v>0</v>
      </c>
      <c r="N55">
        <f t="shared" si="52"/>
        <v>0</v>
      </c>
      <c r="O55">
        <f t="shared" si="53"/>
        <v>0</v>
      </c>
      <c r="P55" s="2" t="e">
        <f t="shared" si="54"/>
        <v>#DIV/0!</v>
      </c>
      <c r="Q55" s="2" t="e">
        <f t="shared" si="55"/>
        <v>#DIV/0!</v>
      </c>
      <c r="R55" s="2" t="e">
        <f t="shared" si="56"/>
        <v>#DIV/0!</v>
      </c>
      <c r="S55">
        <f t="shared" si="42"/>
        <v>0</v>
      </c>
      <c r="T55">
        <f t="shared" si="57"/>
        <v>0</v>
      </c>
      <c r="U55">
        <f t="shared" si="44"/>
        <v>0</v>
      </c>
      <c r="V55">
        <f t="shared" si="58"/>
        <v>0</v>
      </c>
      <c r="W55">
        <f t="shared" si="59"/>
        <v>0</v>
      </c>
      <c r="X55">
        <f t="shared" si="13"/>
        <v>0</v>
      </c>
      <c r="Y55" t="e">
        <f t="shared" si="60"/>
        <v>#DIV/0!</v>
      </c>
      <c r="Z55" t="e">
        <f t="shared" si="61"/>
        <v>#DIV/0!</v>
      </c>
      <c r="AB55" t="e">
        <f t="shared" si="62"/>
        <v>#DIV/0!</v>
      </c>
      <c r="AC55" t="e">
        <f t="shared" si="63"/>
        <v>#DIV/0!</v>
      </c>
      <c r="AE55">
        <f t="shared" si="18"/>
        <v>0</v>
      </c>
    </row>
    <row r="56" spans="1:31" x14ac:dyDescent="0.25">
      <c r="A56">
        <f>FirstRuns!A55</f>
        <v>0</v>
      </c>
      <c r="B56">
        <f>SecondRuns!A55</f>
        <v>0</v>
      </c>
      <c r="C56">
        <f>FirstRuns!B55+SecondRuns!B55</f>
        <v>0</v>
      </c>
      <c r="D56">
        <f>FirstRuns!C55+SecondRuns!C55</f>
        <v>0</v>
      </c>
      <c r="E56">
        <f>FirstRuns!D55+SecondRuns!D55</f>
        <v>0</v>
      </c>
      <c r="F56">
        <f>FirstRuns!E55+SecondRuns!E55</f>
        <v>0</v>
      </c>
      <c r="G56">
        <f>FirstRuns!F55+SecondRuns!F55</f>
        <v>0</v>
      </c>
      <c r="H56">
        <f>FirstRuns!G55+SecondRuns!G55</f>
        <v>0</v>
      </c>
      <c r="I56">
        <f>FirstRuns!H55+SecondRuns!H55</f>
        <v>0</v>
      </c>
      <c r="J56">
        <f>FirstRuns!I55+SecondRuns!I55</f>
        <v>0</v>
      </c>
      <c r="K56">
        <f>FirstRuns!J55+SecondRuns!J55</f>
        <v>0</v>
      </c>
      <c r="L56">
        <f>FirstRuns!K55+SecondRuns!K55</f>
        <v>0</v>
      </c>
      <c r="M56">
        <f t="shared" si="51"/>
        <v>0</v>
      </c>
      <c r="N56">
        <f t="shared" si="52"/>
        <v>0</v>
      </c>
      <c r="O56">
        <f t="shared" si="53"/>
        <v>0</v>
      </c>
      <c r="P56" s="2" t="e">
        <f t="shared" si="54"/>
        <v>#DIV/0!</v>
      </c>
      <c r="Q56" s="2" t="e">
        <f t="shared" si="55"/>
        <v>#DIV/0!</v>
      </c>
      <c r="R56" s="2" t="e">
        <f t="shared" si="56"/>
        <v>#DIV/0!</v>
      </c>
      <c r="S56">
        <f t="shared" si="42"/>
        <v>0</v>
      </c>
      <c r="T56">
        <f t="shared" si="57"/>
        <v>0</v>
      </c>
      <c r="U56">
        <f t="shared" si="44"/>
        <v>0</v>
      </c>
      <c r="V56">
        <f t="shared" si="58"/>
        <v>0</v>
      </c>
      <c r="W56">
        <f t="shared" si="59"/>
        <v>0</v>
      </c>
      <c r="X56">
        <f t="shared" si="13"/>
        <v>0</v>
      </c>
      <c r="Y56" t="e">
        <f t="shared" si="60"/>
        <v>#DIV/0!</v>
      </c>
      <c r="Z56" t="e">
        <f t="shared" si="61"/>
        <v>#DIV/0!</v>
      </c>
      <c r="AB56" t="e">
        <f t="shared" si="62"/>
        <v>#DIV/0!</v>
      </c>
      <c r="AC56" t="e">
        <f t="shared" si="63"/>
        <v>#DIV/0!</v>
      </c>
      <c r="AE56">
        <f t="shared" si="18"/>
        <v>0</v>
      </c>
    </row>
    <row r="57" spans="1:31" x14ac:dyDescent="0.25">
      <c r="A57">
        <f>FirstRuns!A56</f>
        <v>0</v>
      </c>
      <c r="B57">
        <f>SecondRuns!A56</f>
        <v>0</v>
      </c>
      <c r="C57">
        <f>FirstRuns!B56+SecondRuns!B56</f>
        <v>0</v>
      </c>
      <c r="D57">
        <f>FirstRuns!C56+SecondRuns!C56</f>
        <v>0</v>
      </c>
      <c r="E57">
        <f>FirstRuns!D56+SecondRuns!D56</f>
        <v>0</v>
      </c>
      <c r="F57">
        <f>FirstRuns!E56+SecondRuns!E56</f>
        <v>0</v>
      </c>
      <c r="G57">
        <f>FirstRuns!F56+SecondRuns!F56</f>
        <v>0</v>
      </c>
      <c r="H57">
        <f>FirstRuns!G56+SecondRuns!G56</f>
        <v>0</v>
      </c>
      <c r="I57">
        <f>FirstRuns!H56+SecondRuns!H56</f>
        <v>0</v>
      </c>
      <c r="J57">
        <f>FirstRuns!I56+SecondRuns!I56</f>
        <v>0</v>
      </c>
      <c r="K57">
        <f>FirstRuns!J56+SecondRuns!J56</f>
        <v>0</v>
      </c>
      <c r="L57">
        <f>FirstRuns!K56+SecondRuns!K56</f>
        <v>0</v>
      </c>
      <c r="M57">
        <f t="shared" si="51"/>
        <v>0</v>
      </c>
      <c r="N57">
        <f t="shared" si="52"/>
        <v>0</v>
      </c>
      <c r="O57">
        <f t="shared" si="53"/>
        <v>0</v>
      </c>
      <c r="P57" s="2" t="e">
        <f t="shared" si="54"/>
        <v>#DIV/0!</v>
      </c>
      <c r="Q57" s="2" t="e">
        <f t="shared" si="55"/>
        <v>#DIV/0!</v>
      </c>
      <c r="R57" s="2" t="e">
        <f t="shared" si="56"/>
        <v>#DIV/0!</v>
      </c>
      <c r="S57">
        <f t="shared" si="42"/>
        <v>0</v>
      </c>
      <c r="T57">
        <f t="shared" si="57"/>
        <v>0</v>
      </c>
      <c r="U57">
        <f t="shared" si="44"/>
        <v>0</v>
      </c>
      <c r="V57">
        <f t="shared" si="58"/>
        <v>0</v>
      </c>
      <c r="W57">
        <f t="shared" si="59"/>
        <v>0</v>
      </c>
      <c r="X57">
        <f t="shared" si="13"/>
        <v>0</v>
      </c>
      <c r="Y57" t="e">
        <f t="shared" si="60"/>
        <v>#DIV/0!</v>
      </c>
      <c r="Z57" t="e">
        <f t="shared" si="61"/>
        <v>#DIV/0!</v>
      </c>
      <c r="AB57" t="e">
        <f t="shared" si="62"/>
        <v>#DIV/0!</v>
      </c>
      <c r="AC57" t="e">
        <f t="shared" si="63"/>
        <v>#DIV/0!</v>
      </c>
      <c r="AE57">
        <f t="shared" si="18"/>
        <v>0</v>
      </c>
    </row>
    <row r="58" spans="1:31" x14ac:dyDescent="0.25">
      <c r="A58">
        <f>FirstRuns!A57</f>
        <v>0</v>
      </c>
      <c r="B58">
        <f>SecondRuns!A57</f>
        <v>0</v>
      </c>
      <c r="C58">
        <f>FirstRuns!B57+SecondRuns!B57</f>
        <v>0</v>
      </c>
      <c r="D58">
        <f>FirstRuns!C57+SecondRuns!C57</f>
        <v>0</v>
      </c>
      <c r="E58">
        <f>FirstRuns!D57+SecondRuns!D57</f>
        <v>0</v>
      </c>
      <c r="F58">
        <f>FirstRuns!E57+SecondRuns!E57</f>
        <v>0</v>
      </c>
      <c r="G58">
        <f>FirstRuns!F57+SecondRuns!F57</f>
        <v>0</v>
      </c>
      <c r="H58">
        <f>FirstRuns!G57+SecondRuns!G57</f>
        <v>0</v>
      </c>
      <c r="I58">
        <f>FirstRuns!H57+SecondRuns!H57</f>
        <v>0</v>
      </c>
      <c r="J58">
        <f>FirstRuns!I57+SecondRuns!I57</f>
        <v>0</v>
      </c>
      <c r="K58">
        <f>FirstRuns!J57+SecondRuns!J57</f>
        <v>0</v>
      </c>
      <c r="L58">
        <f>FirstRuns!K57+SecondRuns!K57</f>
        <v>0</v>
      </c>
      <c r="M58">
        <f t="shared" si="51"/>
        <v>0</v>
      </c>
      <c r="N58">
        <f t="shared" si="52"/>
        <v>0</v>
      </c>
      <c r="O58">
        <f t="shared" si="53"/>
        <v>0</v>
      </c>
      <c r="P58" s="2" t="e">
        <f t="shared" si="54"/>
        <v>#DIV/0!</v>
      </c>
      <c r="Q58" s="2" t="e">
        <f t="shared" si="55"/>
        <v>#DIV/0!</v>
      </c>
      <c r="R58" s="2" t="e">
        <f t="shared" si="56"/>
        <v>#DIV/0!</v>
      </c>
      <c r="S58">
        <f t="shared" si="42"/>
        <v>0</v>
      </c>
      <c r="T58">
        <f t="shared" si="57"/>
        <v>0</v>
      </c>
      <c r="U58">
        <f t="shared" si="44"/>
        <v>0</v>
      </c>
      <c r="V58">
        <f t="shared" si="58"/>
        <v>0</v>
      </c>
      <c r="W58">
        <f t="shared" si="59"/>
        <v>0</v>
      </c>
      <c r="X58">
        <f t="shared" si="13"/>
        <v>0</v>
      </c>
      <c r="Y58" t="e">
        <f t="shared" si="60"/>
        <v>#DIV/0!</v>
      </c>
      <c r="Z58" t="e">
        <f t="shared" si="61"/>
        <v>#DIV/0!</v>
      </c>
      <c r="AB58" t="e">
        <f t="shared" si="62"/>
        <v>#DIV/0!</v>
      </c>
      <c r="AC58" t="e">
        <f t="shared" si="63"/>
        <v>#DIV/0!</v>
      </c>
      <c r="AE58">
        <f t="shared" si="18"/>
        <v>0</v>
      </c>
    </row>
    <row r="59" spans="1:31" x14ac:dyDescent="0.25">
      <c r="A59">
        <f>FirstRuns!A58</f>
        <v>0</v>
      </c>
      <c r="B59">
        <f>SecondRuns!A58</f>
        <v>0</v>
      </c>
      <c r="C59">
        <f>FirstRuns!B58+SecondRuns!B58</f>
        <v>0</v>
      </c>
      <c r="D59">
        <f>FirstRuns!C58+SecondRuns!C58</f>
        <v>0</v>
      </c>
      <c r="E59">
        <f>FirstRuns!D58+SecondRuns!D58</f>
        <v>0</v>
      </c>
      <c r="F59">
        <f>FirstRuns!E58+SecondRuns!E58</f>
        <v>0</v>
      </c>
      <c r="G59">
        <f>FirstRuns!F58+SecondRuns!F58</f>
        <v>0</v>
      </c>
      <c r="H59">
        <f>FirstRuns!G58+SecondRuns!G58</f>
        <v>0</v>
      </c>
      <c r="I59">
        <f>FirstRuns!H58+SecondRuns!H58</f>
        <v>0</v>
      </c>
      <c r="J59">
        <f>FirstRuns!I58+SecondRuns!I58</f>
        <v>0</v>
      </c>
      <c r="K59">
        <f>FirstRuns!J58+SecondRuns!J58</f>
        <v>0</v>
      </c>
      <c r="L59">
        <f>FirstRuns!K58+SecondRuns!K58</f>
        <v>0</v>
      </c>
      <c r="M59">
        <f t="shared" si="51"/>
        <v>0</v>
      </c>
      <c r="N59">
        <f t="shared" si="52"/>
        <v>0</v>
      </c>
      <c r="O59">
        <f t="shared" si="53"/>
        <v>0</v>
      </c>
      <c r="P59" s="2" t="e">
        <f t="shared" si="54"/>
        <v>#DIV/0!</v>
      </c>
      <c r="Q59" s="2" t="e">
        <f t="shared" si="55"/>
        <v>#DIV/0!</v>
      </c>
      <c r="R59" s="2" t="e">
        <f t="shared" si="56"/>
        <v>#DIV/0!</v>
      </c>
      <c r="S59">
        <f t="shared" si="42"/>
        <v>0</v>
      </c>
      <c r="T59">
        <f t="shared" si="57"/>
        <v>0</v>
      </c>
      <c r="U59">
        <f t="shared" si="44"/>
        <v>0</v>
      </c>
      <c r="V59">
        <f t="shared" si="58"/>
        <v>0</v>
      </c>
      <c r="W59">
        <f t="shared" si="59"/>
        <v>0</v>
      </c>
      <c r="X59">
        <f t="shared" si="13"/>
        <v>0</v>
      </c>
      <c r="Y59" t="e">
        <f t="shared" si="60"/>
        <v>#DIV/0!</v>
      </c>
      <c r="Z59" t="e">
        <f t="shared" si="61"/>
        <v>#DIV/0!</v>
      </c>
      <c r="AB59" t="e">
        <f t="shared" si="62"/>
        <v>#DIV/0!</v>
      </c>
      <c r="AC59" t="e">
        <f t="shared" si="63"/>
        <v>#DIV/0!</v>
      </c>
      <c r="AE59">
        <f t="shared" si="18"/>
        <v>0</v>
      </c>
    </row>
    <row r="60" spans="1:31" x14ac:dyDescent="0.25">
      <c r="A60">
        <f>FirstRuns!A59</f>
        <v>0</v>
      </c>
      <c r="B60">
        <f>SecondRuns!A59</f>
        <v>0</v>
      </c>
      <c r="C60">
        <f>FirstRuns!B59+SecondRuns!B59</f>
        <v>0</v>
      </c>
      <c r="D60">
        <f>FirstRuns!C59+SecondRuns!C59</f>
        <v>0</v>
      </c>
      <c r="E60">
        <f>FirstRuns!D59+SecondRuns!D59</f>
        <v>0</v>
      </c>
      <c r="F60">
        <f>FirstRuns!E59+SecondRuns!E59</f>
        <v>0</v>
      </c>
      <c r="G60">
        <f>FirstRuns!F59+SecondRuns!F59</f>
        <v>0</v>
      </c>
      <c r="H60">
        <f>FirstRuns!G59+SecondRuns!G59</f>
        <v>0</v>
      </c>
      <c r="I60">
        <f>FirstRuns!H59+SecondRuns!H59</f>
        <v>0</v>
      </c>
      <c r="J60">
        <f>FirstRuns!I59+SecondRuns!I59</f>
        <v>0</v>
      </c>
      <c r="K60">
        <f>FirstRuns!J59+SecondRuns!J59</f>
        <v>0</v>
      </c>
      <c r="L60">
        <f>FirstRuns!K59+SecondRuns!K59</f>
        <v>0</v>
      </c>
      <c r="M60">
        <f t="shared" si="51"/>
        <v>0</v>
      </c>
      <c r="N60">
        <f t="shared" si="52"/>
        <v>0</v>
      </c>
      <c r="O60">
        <f t="shared" si="53"/>
        <v>0</v>
      </c>
      <c r="P60" s="2" t="e">
        <f t="shared" si="54"/>
        <v>#DIV/0!</v>
      </c>
      <c r="Q60" s="2" t="e">
        <f t="shared" si="55"/>
        <v>#DIV/0!</v>
      </c>
      <c r="R60" s="2" t="e">
        <f t="shared" si="56"/>
        <v>#DIV/0!</v>
      </c>
      <c r="S60">
        <f t="shared" si="42"/>
        <v>0</v>
      </c>
      <c r="T60">
        <f t="shared" si="57"/>
        <v>0</v>
      </c>
      <c r="U60">
        <f t="shared" si="44"/>
        <v>0</v>
      </c>
      <c r="V60">
        <f t="shared" si="58"/>
        <v>0</v>
      </c>
      <c r="W60">
        <f t="shared" si="59"/>
        <v>0</v>
      </c>
      <c r="X60">
        <f t="shared" si="13"/>
        <v>0</v>
      </c>
      <c r="Y60" t="e">
        <f t="shared" si="60"/>
        <v>#DIV/0!</v>
      </c>
      <c r="Z60" t="e">
        <f t="shared" si="61"/>
        <v>#DIV/0!</v>
      </c>
      <c r="AB60" t="e">
        <f t="shared" si="62"/>
        <v>#DIV/0!</v>
      </c>
      <c r="AC60" t="e">
        <f t="shared" si="63"/>
        <v>#DIV/0!</v>
      </c>
      <c r="AE60">
        <f t="shared" si="18"/>
        <v>0</v>
      </c>
    </row>
    <row r="61" spans="1:31" x14ac:dyDescent="0.25">
      <c r="A61">
        <f>FirstRuns!A60</f>
        <v>0</v>
      </c>
      <c r="B61">
        <f>SecondRuns!A60</f>
        <v>0</v>
      </c>
      <c r="C61">
        <f>FirstRuns!B60+SecondRuns!B60</f>
        <v>0</v>
      </c>
      <c r="D61">
        <f>FirstRuns!C60+SecondRuns!C60</f>
        <v>0</v>
      </c>
      <c r="E61">
        <f>FirstRuns!D60+SecondRuns!D60</f>
        <v>0</v>
      </c>
      <c r="F61">
        <f>FirstRuns!E60+SecondRuns!E60</f>
        <v>0</v>
      </c>
      <c r="G61">
        <f>FirstRuns!F60+SecondRuns!F60</f>
        <v>0</v>
      </c>
      <c r="H61">
        <f>FirstRuns!G60+SecondRuns!G60</f>
        <v>0</v>
      </c>
      <c r="I61">
        <f>FirstRuns!H60+SecondRuns!H60</f>
        <v>0</v>
      </c>
      <c r="J61">
        <f>FirstRuns!I60+SecondRuns!I60</f>
        <v>0</v>
      </c>
      <c r="K61">
        <f>FirstRuns!J60+SecondRuns!J60</f>
        <v>0</v>
      </c>
      <c r="L61">
        <f>FirstRuns!K60+SecondRuns!K60</f>
        <v>0</v>
      </c>
      <c r="M61">
        <f t="shared" si="51"/>
        <v>0</v>
      </c>
      <c r="N61">
        <f t="shared" si="52"/>
        <v>0</v>
      </c>
      <c r="O61">
        <f t="shared" si="53"/>
        <v>0</v>
      </c>
      <c r="P61" s="2" t="e">
        <f t="shared" si="54"/>
        <v>#DIV/0!</v>
      </c>
      <c r="Q61" s="2" t="e">
        <f t="shared" si="55"/>
        <v>#DIV/0!</v>
      </c>
      <c r="R61" s="2" t="e">
        <f t="shared" si="56"/>
        <v>#DIV/0!</v>
      </c>
      <c r="S61">
        <f t="shared" si="42"/>
        <v>0</v>
      </c>
      <c r="T61">
        <f t="shared" si="57"/>
        <v>0</v>
      </c>
      <c r="U61">
        <f t="shared" si="44"/>
        <v>0</v>
      </c>
      <c r="V61">
        <f t="shared" si="58"/>
        <v>0</v>
      </c>
      <c r="W61">
        <f t="shared" si="59"/>
        <v>0</v>
      </c>
      <c r="X61">
        <f t="shared" si="13"/>
        <v>0</v>
      </c>
      <c r="Y61" t="e">
        <f t="shared" si="60"/>
        <v>#DIV/0!</v>
      </c>
      <c r="Z61" t="e">
        <f t="shared" si="61"/>
        <v>#DIV/0!</v>
      </c>
      <c r="AB61" t="e">
        <f t="shared" si="62"/>
        <v>#DIV/0!</v>
      </c>
      <c r="AC61" t="e">
        <f t="shared" si="63"/>
        <v>#DIV/0!</v>
      </c>
      <c r="AE61">
        <f t="shared" si="18"/>
        <v>0</v>
      </c>
    </row>
    <row r="62" spans="1:31" x14ac:dyDescent="0.25">
      <c r="A62">
        <f>FirstRuns!A61</f>
        <v>0</v>
      </c>
      <c r="B62">
        <f>SecondRuns!A61</f>
        <v>0</v>
      </c>
      <c r="C62">
        <f>FirstRuns!B61+SecondRuns!B61</f>
        <v>0</v>
      </c>
      <c r="D62">
        <f>FirstRuns!C61+SecondRuns!C61</f>
        <v>0</v>
      </c>
      <c r="E62">
        <f>FirstRuns!D61+SecondRuns!D61</f>
        <v>0</v>
      </c>
      <c r="F62">
        <f>FirstRuns!E61+SecondRuns!E61</f>
        <v>0</v>
      </c>
      <c r="G62">
        <f>FirstRuns!F61+SecondRuns!F61</f>
        <v>0</v>
      </c>
      <c r="H62">
        <f>FirstRuns!G61+SecondRuns!G61</f>
        <v>0</v>
      </c>
      <c r="I62">
        <f>FirstRuns!H61+SecondRuns!H61</f>
        <v>0</v>
      </c>
      <c r="J62">
        <f>FirstRuns!I61+SecondRuns!I61</f>
        <v>0</v>
      </c>
      <c r="K62">
        <f>FirstRuns!J61+SecondRuns!J61</f>
        <v>0</v>
      </c>
      <c r="L62">
        <f>FirstRuns!K61+SecondRuns!K61</f>
        <v>0</v>
      </c>
      <c r="M62">
        <f t="shared" si="51"/>
        <v>0</v>
      </c>
      <c r="N62">
        <f t="shared" si="52"/>
        <v>0</v>
      </c>
      <c r="O62">
        <f t="shared" si="53"/>
        <v>0</v>
      </c>
      <c r="P62" s="2" t="e">
        <f t="shared" si="54"/>
        <v>#DIV/0!</v>
      </c>
      <c r="Q62" s="2" t="e">
        <f t="shared" si="55"/>
        <v>#DIV/0!</v>
      </c>
      <c r="R62" s="2" t="e">
        <f t="shared" si="56"/>
        <v>#DIV/0!</v>
      </c>
      <c r="S62">
        <f t="shared" si="42"/>
        <v>0</v>
      </c>
      <c r="T62">
        <f t="shared" si="57"/>
        <v>0</v>
      </c>
      <c r="U62">
        <f t="shared" si="44"/>
        <v>0</v>
      </c>
      <c r="V62">
        <f t="shared" si="58"/>
        <v>0</v>
      </c>
      <c r="W62">
        <f t="shared" si="59"/>
        <v>0</v>
      </c>
      <c r="X62">
        <f t="shared" si="13"/>
        <v>0</v>
      </c>
      <c r="Y62" t="e">
        <f t="shared" si="60"/>
        <v>#DIV/0!</v>
      </c>
      <c r="Z62" t="e">
        <f t="shared" si="61"/>
        <v>#DIV/0!</v>
      </c>
      <c r="AB62" t="e">
        <f t="shared" si="62"/>
        <v>#DIV/0!</v>
      </c>
      <c r="AC62" t="e">
        <f t="shared" si="63"/>
        <v>#DIV/0!</v>
      </c>
      <c r="AE62">
        <f t="shared" si="18"/>
        <v>0</v>
      </c>
    </row>
    <row r="63" spans="1:31" x14ac:dyDescent="0.25">
      <c r="A63">
        <f>FirstRuns!A62</f>
        <v>0</v>
      </c>
      <c r="B63">
        <f>SecondRuns!A62</f>
        <v>0</v>
      </c>
      <c r="C63">
        <f>FirstRuns!B62+SecondRuns!B62</f>
        <v>0</v>
      </c>
      <c r="D63">
        <f>FirstRuns!C62+SecondRuns!C62</f>
        <v>0</v>
      </c>
      <c r="E63">
        <f>FirstRuns!D62+SecondRuns!D62</f>
        <v>0</v>
      </c>
      <c r="F63">
        <f>FirstRuns!E62+SecondRuns!E62</f>
        <v>0</v>
      </c>
      <c r="G63">
        <f>FirstRuns!F62+SecondRuns!F62</f>
        <v>0</v>
      </c>
      <c r="H63">
        <f>FirstRuns!G62+SecondRuns!G62</f>
        <v>0</v>
      </c>
      <c r="I63">
        <f>FirstRuns!H62+SecondRuns!H62</f>
        <v>0</v>
      </c>
      <c r="J63">
        <f>FirstRuns!I62+SecondRuns!I62</f>
        <v>0</v>
      </c>
      <c r="K63">
        <f>FirstRuns!J62+SecondRuns!J62</f>
        <v>0</v>
      </c>
      <c r="L63">
        <f>FirstRuns!K62+SecondRuns!K62</f>
        <v>0</v>
      </c>
      <c r="M63">
        <f t="shared" si="51"/>
        <v>0</v>
      </c>
      <c r="N63">
        <f t="shared" si="52"/>
        <v>0</v>
      </c>
      <c r="O63">
        <f t="shared" si="53"/>
        <v>0</v>
      </c>
      <c r="P63" s="2" t="e">
        <f t="shared" si="54"/>
        <v>#DIV/0!</v>
      </c>
      <c r="Q63" s="2" t="e">
        <f t="shared" si="55"/>
        <v>#DIV/0!</v>
      </c>
      <c r="R63" s="2" t="e">
        <f t="shared" si="56"/>
        <v>#DIV/0!</v>
      </c>
      <c r="S63">
        <f t="shared" si="42"/>
        <v>0</v>
      </c>
      <c r="T63">
        <f t="shared" si="57"/>
        <v>0</v>
      </c>
      <c r="U63">
        <f t="shared" si="44"/>
        <v>0</v>
      </c>
      <c r="V63">
        <f t="shared" si="58"/>
        <v>0</v>
      </c>
      <c r="W63">
        <f t="shared" si="59"/>
        <v>0</v>
      </c>
      <c r="X63">
        <f t="shared" si="13"/>
        <v>0</v>
      </c>
      <c r="Y63" t="e">
        <f t="shared" si="60"/>
        <v>#DIV/0!</v>
      </c>
      <c r="Z63" t="e">
        <f t="shared" si="61"/>
        <v>#DIV/0!</v>
      </c>
      <c r="AB63" t="e">
        <f t="shared" si="62"/>
        <v>#DIV/0!</v>
      </c>
      <c r="AC63" t="e">
        <f t="shared" si="63"/>
        <v>#DIV/0!</v>
      </c>
      <c r="AE63">
        <f t="shared" si="18"/>
        <v>0</v>
      </c>
    </row>
    <row r="64" spans="1:31" x14ac:dyDescent="0.25">
      <c r="A64">
        <f>FirstRuns!A63</f>
        <v>0</v>
      </c>
      <c r="B64">
        <f>SecondRuns!A63</f>
        <v>0</v>
      </c>
      <c r="C64">
        <f>FirstRuns!B63+SecondRuns!B63</f>
        <v>0</v>
      </c>
      <c r="D64">
        <f>FirstRuns!C63+SecondRuns!C63</f>
        <v>0</v>
      </c>
      <c r="E64">
        <f>FirstRuns!D63+SecondRuns!D63</f>
        <v>0</v>
      </c>
      <c r="F64">
        <f>FirstRuns!E63+SecondRuns!E63</f>
        <v>0</v>
      </c>
      <c r="G64">
        <f>FirstRuns!F63+SecondRuns!F63</f>
        <v>0</v>
      </c>
      <c r="H64">
        <f>FirstRuns!G63+SecondRuns!G63</f>
        <v>0</v>
      </c>
      <c r="I64">
        <f>FirstRuns!H63+SecondRuns!H63</f>
        <v>0</v>
      </c>
      <c r="J64">
        <f>FirstRuns!I63+SecondRuns!I63</f>
        <v>0</v>
      </c>
      <c r="K64">
        <f>FirstRuns!J63+SecondRuns!J63</f>
        <v>0</v>
      </c>
      <c r="L64">
        <f>FirstRuns!K63+SecondRuns!K63</f>
        <v>0</v>
      </c>
      <c r="M64">
        <f t="shared" si="51"/>
        <v>0</v>
      </c>
      <c r="N64">
        <f t="shared" si="52"/>
        <v>0</v>
      </c>
      <c r="O64">
        <f t="shared" si="53"/>
        <v>0</v>
      </c>
      <c r="P64" s="2" t="e">
        <f t="shared" si="54"/>
        <v>#DIV/0!</v>
      </c>
      <c r="Q64" s="2" t="e">
        <f t="shared" si="55"/>
        <v>#DIV/0!</v>
      </c>
      <c r="R64" s="2" t="e">
        <f t="shared" si="56"/>
        <v>#DIV/0!</v>
      </c>
      <c r="S64">
        <f t="shared" si="42"/>
        <v>0</v>
      </c>
      <c r="T64">
        <f t="shared" si="57"/>
        <v>0</v>
      </c>
      <c r="U64">
        <f t="shared" si="44"/>
        <v>0</v>
      </c>
      <c r="V64">
        <f t="shared" si="58"/>
        <v>0</v>
      </c>
      <c r="W64">
        <f t="shared" si="59"/>
        <v>0</v>
      </c>
      <c r="X64">
        <f t="shared" si="13"/>
        <v>0</v>
      </c>
      <c r="Y64" t="e">
        <f t="shared" si="60"/>
        <v>#DIV/0!</v>
      </c>
      <c r="Z64" t="e">
        <f t="shared" si="61"/>
        <v>#DIV/0!</v>
      </c>
      <c r="AB64" t="e">
        <f t="shared" si="62"/>
        <v>#DIV/0!</v>
      </c>
      <c r="AC64" t="e">
        <f t="shared" si="63"/>
        <v>#DIV/0!</v>
      </c>
      <c r="AE64">
        <f t="shared" si="18"/>
        <v>0</v>
      </c>
    </row>
    <row r="65" spans="1:31" x14ac:dyDescent="0.25">
      <c r="A65">
        <f>FirstRuns!A64</f>
        <v>0</v>
      </c>
      <c r="B65">
        <f>SecondRuns!A64</f>
        <v>0</v>
      </c>
      <c r="C65">
        <f>FirstRuns!B64+SecondRuns!B64</f>
        <v>0</v>
      </c>
      <c r="D65">
        <f>FirstRuns!C64+SecondRuns!C64</f>
        <v>0</v>
      </c>
      <c r="E65">
        <f>FirstRuns!D64+SecondRuns!D64</f>
        <v>0</v>
      </c>
      <c r="F65">
        <f>FirstRuns!E64+SecondRuns!E64</f>
        <v>0</v>
      </c>
      <c r="G65">
        <f>FirstRuns!F64+SecondRuns!F64</f>
        <v>0</v>
      </c>
      <c r="H65">
        <f>FirstRuns!G64+SecondRuns!G64</f>
        <v>0</v>
      </c>
      <c r="I65">
        <f>FirstRuns!H64+SecondRuns!H64</f>
        <v>0</v>
      </c>
      <c r="J65">
        <f>FirstRuns!I64+SecondRuns!I64</f>
        <v>0</v>
      </c>
      <c r="K65">
        <f>FirstRuns!J64+SecondRuns!J64</f>
        <v>0</v>
      </c>
      <c r="L65">
        <f>FirstRuns!K64+SecondRuns!K64</f>
        <v>0</v>
      </c>
      <c r="M65">
        <f t="shared" si="51"/>
        <v>0</v>
      </c>
      <c r="N65">
        <f t="shared" si="52"/>
        <v>0</v>
      </c>
      <c r="O65">
        <f t="shared" si="53"/>
        <v>0</v>
      </c>
      <c r="P65" s="2" t="e">
        <f t="shared" si="54"/>
        <v>#DIV/0!</v>
      </c>
      <c r="Q65" s="2" t="e">
        <f t="shared" si="55"/>
        <v>#DIV/0!</v>
      </c>
      <c r="R65" s="2" t="e">
        <f t="shared" si="56"/>
        <v>#DIV/0!</v>
      </c>
      <c r="S65">
        <f t="shared" si="42"/>
        <v>0</v>
      </c>
      <c r="T65">
        <f t="shared" si="57"/>
        <v>0</v>
      </c>
      <c r="U65">
        <f t="shared" si="44"/>
        <v>0</v>
      </c>
      <c r="V65">
        <f t="shared" si="58"/>
        <v>0</v>
      </c>
      <c r="W65">
        <f t="shared" si="59"/>
        <v>0</v>
      </c>
      <c r="X65">
        <f t="shared" si="13"/>
        <v>0</v>
      </c>
      <c r="Y65" t="e">
        <f t="shared" si="60"/>
        <v>#DIV/0!</v>
      </c>
      <c r="Z65" t="e">
        <f t="shared" si="61"/>
        <v>#DIV/0!</v>
      </c>
      <c r="AB65" t="e">
        <f t="shared" si="62"/>
        <v>#DIV/0!</v>
      </c>
      <c r="AC65" t="e">
        <f t="shared" si="63"/>
        <v>#DIV/0!</v>
      </c>
      <c r="AE65">
        <f t="shared" si="18"/>
        <v>0</v>
      </c>
    </row>
    <row r="66" spans="1:31" x14ac:dyDescent="0.25">
      <c r="A66">
        <f>FirstRuns!A65</f>
        <v>0</v>
      </c>
      <c r="B66">
        <f>SecondRuns!A65</f>
        <v>0</v>
      </c>
      <c r="C66">
        <f>FirstRuns!B65+SecondRuns!B65</f>
        <v>0</v>
      </c>
      <c r="D66">
        <f>FirstRuns!C65+SecondRuns!C65</f>
        <v>0</v>
      </c>
      <c r="E66">
        <f>FirstRuns!D65+SecondRuns!D65</f>
        <v>0</v>
      </c>
      <c r="F66">
        <f>FirstRuns!E65+SecondRuns!E65</f>
        <v>0</v>
      </c>
      <c r="G66">
        <f>FirstRuns!F65+SecondRuns!F65</f>
        <v>0</v>
      </c>
      <c r="H66">
        <f>FirstRuns!G65+SecondRuns!G65</f>
        <v>0</v>
      </c>
      <c r="I66">
        <f>FirstRuns!H65+SecondRuns!H65</f>
        <v>0</v>
      </c>
      <c r="J66">
        <f>FirstRuns!I65+SecondRuns!I65</f>
        <v>0</v>
      </c>
      <c r="K66">
        <f>FirstRuns!J65+SecondRuns!J65</f>
        <v>0</v>
      </c>
      <c r="L66">
        <f>FirstRuns!K65+SecondRuns!K65</f>
        <v>0</v>
      </c>
      <c r="M66">
        <f t="shared" si="51"/>
        <v>0</v>
      </c>
      <c r="N66">
        <f t="shared" si="52"/>
        <v>0</v>
      </c>
      <c r="O66">
        <f t="shared" si="53"/>
        <v>0</v>
      </c>
      <c r="P66" s="2" t="e">
        <f t="shared" si="54"/>
        <v>#DIV/0!</v>
      </c>
      <c r="Q66" s="2" t="e">
        <f t="shared" si="55"/>
        <v>#DIV/0!</v>
      </c>
      <c r="R66" s="2" t="e">
        <f t="shared" si="56"/>
        <v>#DIV/0!</v>
      </c>
      <c r="S66">
        <f t="shared" si="42"/>
        <v>0</v>
      </c>
      <c r="T66">
        <f t="shared" si="57"/>
        <v>0</v>
      </c>
      <c r="U66">
        <f t="shared" si="44"/>
        <v>0</v>
      </c>
      <c r="V66">
        <f t="shared" si="58"/>
        <v>0</v>
      </c>
      <c r="W66">
        <f t="shared" si="59"/>
        <v>0</v>
      </c>
      <c r="X66">
        <f t="shared" si="13"/>
        <v>0</v>
      </c>
      <c r="Y66" t="e">
        <f t="shared" si="60"/>
        <v>#DIV/0!</v>
      </c>
      <c r="Z66" t="e">
        <f t="shared" si="61"/>
        <v>#DIV/0!</v>
      </c>
      <c r="AB66" t="e">
        <f t="shared" si="62"/>
        <v>#DIV/0!</v>
      </c>
      <c r="AC66" t="e">
        <f t="shared" si="63"/>
        <v>#DIV/0!</v>
      </c>
      <c r="AE66">
        <f t="shared" si="18"/>
        <v>0</v>
      </c>
    </row>
    <row r="67" spans="1:31" x14ac:dyDescent="0.25">
      <c r="A67">
        <f>FirstRuns!A66</f>
        <v>0</v>
      </c>
      <c r="B67">
        <f>SecondRuns!A66</f>
        <v>0</v>
      </c>
      <c r="C67">
        <f>FirstRuns!B66+SecondRuns!B66</f>
        <v>0</v>
      </c>
      <c r="D67">
        <f>FirstRuns!C66+SecondRuns!C66</f>
        <v>0</v>
      </c>
      <c r="E67">
        <f>FirstRuns!D66+SecondRuns!D66</f>
        <v>0</v>
      </c>
      <c r="F67">
        <f>FirstRuns!E66+SecondRuns!E66</f>
        <v>0</v>
      </c>
      <c r="G67">
        <f>FirstRuns!F66+SecondRuns!F66</f>
        <v>0</v>
      </c>
      <c r="H67">
        <f>FirstRuns!G66+SecondRuns!G66</f>
        <v>0</v>
      </c>
      <c r="I67">
        <f>FirstRuns!H66+SecondRuns!H66</f>
        <v>0</v>
      </c>
      <c r="J67">
        <f>FirstRuns!I66+SecondRuns!I66</f>
        <v>0</v>
      </c>
      <c r="K67">
        <f>FirstRuns!J66+SecondRuns!J66</f>
        <v>0</v>
      </c>
      <c r="L67">
        <f>FirstRuns!K66+SecondRuns!K66</f>
        <v>0</v>
      </c>
      <c r="M67">
        <f>SUM(I67:J67)</f>
        <v>0</v>
      </c>
      <c r="N67">
        <f>SUM(G67,J67)</f>
        <v>0</v>
      </c>
      <c r="O67">
        <f>SUM(G67:J67)</f>
        <v>0</v>
      </c>
      <c r="P67" s="2" t="e">
        <f>S67/O67</f>
        <v>#DIV/0!</v>
      </c>
      <c r="Q67" s="2" t="e">
        <f>U67/O67</f>
        <v>#DIV/0!</v>
      </c>
      <c r="R67" s="2" t="e">
        <f>SUM(E67:F67)/SUM(C67:J67)</f>
        <v>#DIV/0!</v>
      </c>
      <c r="S67">
        <f t="shared" si="42"/>
        <v>0</v>
      </c>
      <c r="T67">
        <f>O67-S67</f>
        <v>0</v>
      </c>
      <c r="U67">
        <f t="shared" si="44"/>
        <v>0</v>
      </c>
      <c r="V67">
        <f>O67-U67</f>
        <v>0</v>
      </c>
      <c r="W67">
        <f>O67/2</f>
        <v>0</v>
      </c>
      <c r="X67">
        <f>W67</f>
        <v>0</v>
      </c>
      <c r="Y67" t="e">
        <f>_xlfn.CHISQ.TEST(S67:T67,W67:X67)</f>
        <v>#DIV/0!</v>
      </c>
      <c r="Z67" t="e">
        <f>_xlfn.CHISQ.TEST(U67:V67,W67:X67)</f>
        <v>#DIV/0!</v>
      </c>
      <c r="AB67" t="e">
        <f>Y67 &gt;$AA$2</f>
        <v>#DIV/0!</v>
      </c>
      <c r="AC67" t="e">
        <f>Z67 &gt;$AA$2</f>
        <v>#DIV/0!</v>
      </c>
      <c r="AE67">
        <f t="shared" si="18"/>
        <v>0</v>
      </c>
    </row>
    <row r="68" spans="1:31" x14ac:dyDescent="0.25">
      <c r="A68">
        <f>FirstRuns!A67</f>
        <v>0</v>
      </c>
      <c r="B68">
        <f>SecondRuns!A67</f>
        <v>0</v>
      </c>
      <c r="C68">
        <f>FirstRuns!B67+SecondRuns!B67</f>
        <v>0</v>
      </c>
      <c r="D68">
        <f>FirstRuns!C67+SecondRuns!C67</f>
        <v>0</v>
      </c>
      <c r="E68">
        <f>FirstRuns!D67+SecondRuns!D67</f>
        <v>0</v>
      </c>
      <c r="F68">
        <f>FirstRuns!E67+SecondRuns!E67</f>
        <v>0</v>
      </c>
      <c r="G68">
        <f>FirstRuns!F67+SecondRuns!F67</f>
        <v>0</v>
      </c>
      <c r="H68">
        <f>FirstRuns!G67+SecondRuns!G67</f>
        <v>0</v>
      </c>
      <c r="I68">
        <f>FirstRuns!H67+SecondRuns!H67</f>
        <v>0</v>
      </c>
      <c r="J68">
        <f>FirstRuns!I67+SecondRuns!I67</f>
        <v>0</v>
      </c>
      <c r="K68">
        <f>FirstRuns!J67+SecondRuns!J67</f>
        <v>0</v>
      </c>
      <c r="L68">
        <f>FirstRuns!K67+SecondRuns!K67</f>
        <v>0</v>
      </c>
      <c r="M68">
        <f t="shared" ref="M68:M79" si="64">SUM(I68:J68)</f>
        <v>0</v>
      </c>
      <c r="N68">
        <f t="shared" ref="N68:N79" si="65">SUM(G68,J68)</f>
        <v>0</v>
      </c>
      <c r="O68">
        <f t="shared" ref="O68:O79" si="66">SUM(G68:J68)</f>
        <v>0</v>
      </c>
      <c r="P68" s="2" t="e">
        <f t="shared" ref="P68:P79" si="67">S68/O68</f>
        <v>#DIV/0!</v>
      </c>
      <c r="Q68" s="2" t="e">
        <f t="shared" ref="Q68:Q79" si="68">U68/O68</f>
        <v>#DIV/0!</v>
      </c>
      <c r="R68" s="2" t="e">
        <f t="shared" ref="R68:R79" si="69">SUM(E68:F68)/SUM(C68:J68)</f>
        <v>#DIV/0!</v>
      </c>
      <c r="S68">
        <f t="shared" si="42"/>
        <v>0</v>
      </c>
      <c r="T68">
        <f t="shared" ref="T68:T79" si="70">O68-S68</f>
        <v>0</v>
      </c>
      <c r="U68">
        <f t="shared" si="44"/>
        <v>0</v>
      </c>
      <c r="V68">
        <f t="shared" ref="V68:V79" si="71">O68-U68</f>
        <v>0</v>
      </c>
      <c r="W68">
        <f t="shared" ref="W68:W79" si="72">O68/2</f>
        <v>0</v>
      </c>
      <c r="X68">
        <f t="shared" si="13"/>
        <v>0</v>
      </c>
      <c r="Y68" t="e">
        <f t="shared" ref="Y68:Y79" si="73">_xlfn.CHISQ.TEST(S68:T68,W68:X68)</f>
        <v>#DIV/0!</v>
      </c>
      <c r="Z68" t="e">
        <f t="shared" ref="Z68:Z79" si="74">_xlfn.CHISQ.TEST(U68:V68,W68:X68)</f>
        <v>#DIV/0!</v>
      </c>
      <c r="AB68" t="e">
        <f t="shared" ref="AB68:AB79" si="75">Y68 &gt;$AA$2</f>
        <v>#DIV/0!</v>
      </c>
      <c r="AC68" t="e">
        <f t="shared" ref="AC68:AC79" si="76">Z68 &gt;$AA$2</f>
        <v>#DIV/0!</v>
      </c>
      <c r="AE68">
        <f t="shared" ref="AE68:AE79" si="77">SUM(B68:J68)</f>
        <v>0</v>
      </c>
    </row>
    <row r="69" spans="1:31" x14ac:dyDescent="0.25">
      <c r="A69">
        <f>FirstRuns!A68</f>
        <v>0</v>
      </c>
      <c r="B69">
        <f>SecondRuns!A68</f>
        <v>0</v>
      </c>
      <c r="C69">
        <f>FirstRuns!B68+SecondRuns!B68</f>
        <v>0</v>
      </c>
      <c r="D69">
        <f>FirstRuns!C68+SecondRuns!C68</f>
        <v>0</v>
      </c>
      <c r="E69">
        <f>FirstRuns!D68+SecondRuns!D68</f>
        <v>0</v>
      </c>
      <c r="F69">
        <f>FirstRuns!E68+SecondRuns!E68</f>
        <v>0</v>
      </c>
      <c r="G69">
        <f>FirstRuns!F68+SecondRuns!F68</f>
        <v>0</v>
      </c>
      <c r="H69">
        <f>FirstRuns!G68+SecondRuns!G68</f>
        <v>0</v>
      </c>
      <c r="I69">
        <f>FirstRuns!H68+SecondRuns!H68</f>
        <v>0</v>
      </c>
      <c r="J69">
        <f>FirstRuns!I68+SecondRuns!I68</f>
        <v>0</v>
      </c>
      <c r="K69">
        <f>FirstRuns!J68+SecondRuns!J68</f>
        <v>0</v>
      </c>
      <c r="L69">
        <f>FirstRuns!K68+SecondRuns!K68</f>
        <v>0</v>
      </c>
      <c r="M69">
        <f t="shared" si="64"/>
        <v>0</v>
      </c>
      <c r="N69">
        <f t="shared" si="65"/>
        <v>0</v>
      </c>
      <c r="O69">
        <f t="shared" si="66"/>
        <v>0</v>
      </c>
      <c r="P69" s="2" t="e">
        <f t="shared" si="67"/>
        <v>#DIV/0!</v>
      </c>
      <c r="Q69" s="2" t="e">
        <f t="shared" si="68"/>
        <v>#DIV/0!</v>
      </c>
      <c r="R69" s="2" t="e">
        <f t="shared" si="69"/>
        <v>#DIV/0!</v>
      </c>
      <c r="S69">
        <f t="shared" si="42"/>
        <v>0</v>
      </c>
      <c r="T69">
        <f t="shared" si="70"/>
        <v>0</v>
      </c>
      <c r="U69">
        <f t="shared" si="44"/>
        <v>0</v>
      </c>
      <c r="V69">
        <f t="shared" si="71"/>
        <v>0</v>
      </c>
      <c r="W69">
        <f t="shared" si="72"/>
        <v>0</v>
      </c>
      <c r="X69">
        <f t="shared" ref="X69:X79" si="78">W69</f>
        <v>0</v>
      </c>
      <c r="Y69" t="e">
        <f t="shared" si="73"/>
        <v>#DIV/0!</v>
      </c>
      <c r="Z69" t="e">
        <f t="shared" si="74"/>
        <v>#DIV/0!</v>
      </c>
      <c r="AB69" t="e">
        <f t="shared" si="75"/>
        <v>#DIV/0!</v>
      </c>
      <c r="AC69" t="e">
        <f t="shared" si="76"/>
        <v>#DIV/0!</v>
      </c>
      <c r="AE69">
        <f t="shared" si="77"/>
        <v>0</v>
      </c>
    </row>
    <row r="70" spans="1:31" x14ac:dyDescent="0.25">
      <c r="A70">
        <f>FirstRuns!A69</f>
        <v>0</v>
      </c>
      <c r="B70">
        <f>SecondRuns!A69</f>
        <v>0</v>
      </c>
      <c r="C70">
        <f>FirstRuns!B69+SecondRuns!B69</f>
        <v>0</v>
      </c>
      <c r="D70">
        <f>FirstRuns!C69+SecondRuns!C69</f>
        <v>0</v>
      </c>
      <c r="E70">
        <f>FirstRuns!D69+SecondRuns!D69</f>
        <v>0</v>
      </c>
      <c r="F70">
        <f>FirstRuns!E69+SecondRuns!E69</f>
        <v>0</v>
      </c>
      <c r="G70">
        <f>FirstRuns!F69+SecondRuns!F69</f>
        <v>0</v>
      </c>
      <c r="H70">
        <f>FirstRuns!G69+SecondRuns!G69</f>
        <v>0</v>
      </c>
      <c r="I70">
        <f>FirstRuns!H69+SecondRuns!H69</f>
        <v>0</v>
      </c>
      <c r="J70">
        <f>FirstRuns!I69+SecondRuns!I69</f>
        <v>0</v>
      </c>
      <c r="K70">
        <f>FirstRuns!J69+SecondRuns!J69</f>
        <v>0</v>
      </c>
      <c r="L70">
        <f>FirstRuns!K69+SecondRuns!K69</f>
        <v>0</v>
      </c>
      <c r="M70">
        <f t="shared" si="64"/>
        <v>0</v>
      </c>
      <c r="N70">
        <f t="shared" si="65"/>
        <v>0</v>
      </c>
      <c r="O70">
        <f t="shared" si="66"/>
        <v>0</v>
      </c>
      <c r="P70" s="2" t="e">
        <f t="shared" si="67"/>
        <v>#DIV/0!</v>
      </c>
      <c r="Q70" s="2" t="e">
        <f t="shared" si="68"/>
        <v>#DIV/0!</v>
      </c>
      <c r="R70" s="2" t="e">
        <f t="shared" si="69"/>
        <v>#DIV/0!</v>
      </c>
      <c r="S70">
        <f t="shared" si="42"/>
        <v>0</v>
      </c>
      <c r="T70">
        <f t="shared" si="70"/>
        <v>0</v>
      </c>
      <c r="U70">
        <f t="shared" si="44"/>
        <v>0</v>
      </c>
      <c r="V70">
        <f t="shared" si="71"/>
        <v>0</v>
      </c>
      <c r="W70">
        <f t="shared" si="72"/>
        <v>0</v>
      </c>
      <c r="X70">
        <f t="shared" si="78"/>
        <v>0</v>
      </c>
      <c r="Y70" t="e">
        <f t="shared" si="73"/>
        <v>#DIV/0!</v>
      </c>
      <c r="Z70" t="e">
        <f t="shared" si="74"/>
        <v>#DIV/0!</v>
      </c>
      <c r="AB70" t="e">
        <f t="shared" si="75"/>
        <v>#DIV/0!</v>
      </c>
      <c r="AC70" t="e">
        <f t="shared" si="76"/>
        <v>#DIV/0!</v>
      </c>
      <c r="AE70">
        <f t="shared" si="77"/>
        <v>0</v>
      </c>
    </row>
    <row r="71" spans="1:31" x14ac:dyDescent="0.25">
      <c r="A71">
        <f>FirstRuns!A70</f>
        <v>0</v>
      </c>
      <c r="B71">
        <f>SecondRuns!A70</f>
        <v>0</v>
      </c>
      <c r="C71">
        <f>FirstRuns!B70+SecondRuns!B70</f>
        <v>0</v>
      </c>
      <c r="D71">
        <f>FirstRuns!C70+SecondRuns!C70</f>
        <v>0</v>
      </c>
      <c r="E71">
        <f>FirstRuns!D70+SecondRuns!D70</f>
        <v>0</v>
      </c>
      <c r="F71">
        <f>FirstRuns!E70+SecondRuns!E70</f>
        <v>0</v>
      </c>
      <c r="G71">
        <f>FirstRuns!F70+SecondRuns!F70</f>
        <v>0</v>
      </c>
      <c r="H71">
        <f>FirstRuns!G70+SecondRuns!G70</f>
        <v>0</v>
      </c>
      <c r="I71">
        <f>FirstRuns!H70+SecondRuns!H70</f>
        <v>0</v>
      </c>
      <c r="J71">
        <f>FirstRuns!I70+SecondRuns!I70</f>
        <v>0</v>
      </c>
      <c r="K71">
        <f>FirstRuns!J70+SecondRuns!J70</f>
        <v>0</v>
      </c>
      <c r="L71">
        <f>FirstRuns!K70+SecondRuns!K70</f>
        <v>0</v>
      </c>
      <c r="M71">
        <f t="shared" si="64"/>
        <v>0</v>
      </c>
      <c r="N71">
        <f t="shared" si="65"/>
        <v>0</v>
      </c>
      <c r="O71">
        <f t="shared" si="66"/>
        <v>0</v>
      </c>
      <c r="P71" s="2" t="e">
        <f t="shared" si="67"/>
        <v>#DIV/0!</v>
      </c>
      <c r="Q71" s="2" t="e">
        <f t="shared" si="68"/>
        <v>#DIV/0!</v>
      </c>
      <c r="R71" s="2" t="e">
        <f t="shared" si="69"/>
        <v>#DIV/0!</v>
      </c>
      <c r="S71">
        <f t="shared" si="42"/>
        <v>0</v>
      </c>
      <c r="T71">
        <f t="shared" si="70"/>
        <v>0</v>
      </c>
      <c r="U71">
        <f t="shared" si="44"/>
        <v>0</v>
      </c>
      <c r="V71">
        <f t="shared" si="71"/>
        <v>0</v>
      </c>
      <c r="W71">
        <f t="shared" si="72"/>
        <v>0</v>
      </c>
      <c r="X71">
        <f t="shared" si="78"/>
        <v>0</v>
      </c>
      <c r="Y71" t="e">
        <f t="shared" si="73"/>
        <v>#DIV/0!</v>
      </c>
      <c r="Z71" t="e">
        <f t="shared" si="74"/>
        <v>#DIV/0!</v>
      </c>
      <c r="AB71" t="e">
        <f t="shared" si="75"/>
        <v>#DIV/0!</v>
      </c>
      <c r="AC71" t="e">
        <f t="shared" si="76"/>
        <v>#DIV/0!</v>
      </c>
      <c r="AE71">
        <f t="shared" si="77"/>
        <v>0</v>
      </c>
    </row>
    <row r="72" spans="1:31" x14ac:dyDescent="0.25">
      <c r="A72">
        <f>FirstRuns!A71</f>
        <v>0</v>
      </c>
      <c r="B72">
        <f>SecondRuns!A71</f>
        <v>0</v>
      </c>
      <c r="C72">
        <f>FirstRuns!B71+SecondRuns!B71</f>
        <v>0</v>
      </c>
      <c r="D72">
        <f>FirstRuns!C71+SecondRuns!C71</f>
        <v>0</v>
      </c>
      <c r="E72">
        <f>FirstRuns!D71+SecondRuns!D71</f>
        <v>0</v>
      </c>
      <c r="F72">
        <f>FirstRuns!E71+SecondRuns!E71</f>
        <v>0</v>
      </c>
      <c r="G72">
        <f>FirstRuns!F71+SecondRuns!F71</f>
        <v>0</v>
      </c>
      <c r="H72">
        <f>FirstRuns!G71+SecondRuns!G71</f>
        <v>0</v>
      </c>
      <c r="I72">
        <f>FirstRuns!H71+SecondRuns!H71</f>
        <v>0</v>
      </c>
      <c r="J72">
        <f>FirstRuns!I71+SecondRuns!I71</f>
        <v>0</v>
      </c>
      <c r="K72">
        <f>FirstRuns!J71+SecondRuns!J71</f>
        <v>0</v>
      </c>
      <c r="L72">
        <f>FirstRuns!K71+SecondRuns!K71</f>
        <v>0</v>
      </c>
      <c r="M72">
        <f t="shared" si="64"/>
        <v>0</v>
      </c>
      <c r="N72">
        <f t="shared" si="65"/>
        <v>0</v>
      </c>
      <c r="O72">
        <f t="shared" si="66"/>
        <v>0</v>
      </c>
      <c r="P72" s="2" t="e">
        <f t="shared" si="67"/>
        <v>#DIV/0!</v>
      </c>
      <c r="Q72" s="2" t="e">
        <f t="shared" si="68"/>
        <v>#DIV/0!</v>
      </c>
      <c r="R72" s="2" t="e">
        <f t="shared" si="69"/>
        <v>#DIV/0!</v>
      </c>
      <c r="S72">
        <f t="shared" si="42"/>
        <v>0</v>
      </c>
      <c r="T72">
        <f t="shared" si="70"/>
        <v>0</v>
      </c>
      <c r="U72">
        <f t="shared" si="44"/>
        <v>0</v>
      </c>
      <c r="V72">
        <f t="shared" si="71"/>
        <v>0</v>
      </c>
      <c r="W72">
        <f t="shared" si="72"/>
        <v>0</v>
      </c>
      <c r="X72">
        <f t="shared" si="78"/>
        <v>0</v>
      </c>
      <c r="Y72" t="e">
        <f t="shared" si="73"/>
        <v>#DIV/0!</v>
      </c>
      <c r="Z72" t="e">
        <f t="shared" si="74"/>
        <v>#DIV/0!</v>
      </c>
      <c r="AB72" t="e">
        <f t="shared" si="75"/>
        <v>#DIV/0!</v>
      </c>
      <c r="AC72" t="e">
        <f t="shared" si="76"/>
        <v>#DIV/0!</v>
      </c>
      <c r="AE72">
        <f t="shared" si="77"/>
        <v>0</v>
      </c>
    </row>
    <row r="73" spans="1:31" x14ac:dyDescent="0.25">
      <c r="A73">
        <f>FirstRuns!A72</f>
        <v>0</v>
      </c>
      <c r="B73">
        <f>SecondRuns!A72</f>
        <v>0</v>
      </c>
      <c r="C73">
        <f>FirstRuns!B72+SecondRuns!B72</f>
        <v>0</v>
      </c>
      <c r="D73">
        <f>FirstRuns!C72+SecondRuns!C72</f>
        <v>0</v>
      </c>
      <c r="E73">
        <f>FirstRuns!D72+SecondRuns!D72</f>
        <v>0</v>
      </c>
      <c r="F73">
        <f>FirstRuns!E72+SecondRuns!E72</f>
        <v>0</v>
      </c>
      <c r="G73">
        <f>FirstRuns!F72+SecondRuns!F72</f>
        <v>0</v>
      </c>
      <c r="H73">
        <f>FirstRuns!G72+SecondRuns!G72</f>
        <v>0</v>
      </c>
      <c r="I73">
        <f>FirstRuns!H72+SecondRuns!H72</f>
        <v>0</v>
      </c>
      <c r="J73">
        <f>FirstRuns!I72+SecondRuns!I72</f>
        <v>0</v>
      </c>
      <c r="K73">
        <f>FirstRuns!J72+SecondRuns!J72</f>
        <v>0</v>
      </c>
      <c r="L73">
        <f>FirstRuns!K72+SecondRuns!K72</f>
        <v>0</v>
      </c>
      <c r="M73">
        <f t="shared" si="64"/>
        <v>0</v>
      </c>
      <c r="N73">
        <f t="shared" si="65"/>
        <v>0</v>
      </c>
      <c r="O73">
        <f t="shared" si="66"/>
        <v>0</v>
      </c>
      <c r="P73" s="2" t="e">
        <f t="shared" si="67"/>
        <v>#DIV/0!</v>
      </c>
      <c r="Q73" s="2" t="e">
        <f t="shared" si="68"/>
        <v>#DIV/0!</v>
      </c>
      <c r="R73" s="2" t="e">
        <f t="shared" si="69"/>
        <v>#DIV/0!</v>
      </c>
      <c r="S73">
        <f t="shared" si="42"/>
        <v>0</v>
      </c>
      <c r="T73">
        <f t="shared" si="70"/>
        <v>0</v>
      </c>
      <c r="U73">
        <f t="shared" si="44"/>
        <v>0</v>
      </c>
      <c r="V73">
        <f t="shared" si="71"/>
        <v>0</v>
      </c>
      <c r="W73">
        <f t="shared" si="72"/>
        <v>0</v>
      </c>
      <c r="X73">
        <f t="shared" si="78"/>
        <v>0</v>
      </c>
      <c r="Y73" t="e">
        <f t="shared" si="73"/>
        <v>#DIV/0!</v>
      </c>
      <c r="Z73" t="e">
        <f t="shared" si="74"/>
        <v>#DIV/0!</v>
      </c>
      <c r="AB73" t="e">
        <f t="shared" si="75"/>
        <v>#DIV/0!</v>
      </c>
      <c r="AC73" t="e">
        <f t="shared" si="76"/>
        <v>#DIV/0!</v>
      </c>
      <c r="AE73">
        <f t="shared" si="77"/>
        <v>0</v>
      </c>
    </row>
    <row r="74" spans="1:31" x14ac:dyDescent="0.25">
      <c r="A74">
        <f>FirstRuns!A73</f>
        <v>0</v>
      </c>
      <c r="B74">
        <f>SecondRuns!A73</f>
        <v>0</v>
      </c>
      <c r="C74">
        <f>FirstRuns!B73+SecondRuns!B73</f>
        <v>0</v>
      </c>
      <c r="D74">
        <f>FirstRuns!C73+SecondRuns!C73</f>
        <v>0</v>
      </c>
      <c r="E74">
        <f>FirstRuns!D73+SecondRuns!D73</f>
        <v>0</v>
      </c>
      <c r="F74">
        <f>FirstRuns!E73+SecondRuns!E73</f>
        <v>0</v>
      </c>
      <c r="G74">
        <f>FirstRuns!F73+SecondRuns!F73</f>
        <v>0</v>
      </c>
      <c r="H74">
        <f>FirstRuns!G73+SecondRuns!G73</f>
        <v>0</v>
      </c>
      <c r="I74">
        <f>FirstRuns!H73+SecondRuns!H73</f>
        <v>0</v>
      </c>
      <c r="J74">
        <f>FirstRuns!I73+SecondRuns!I73</f>
        <v>0</v>
      </c>
      <c r="K74">
        <f>FirstRuns!J73+SecondRuns!J73</f>
        <v>0</v>
      </c>
      <c r="L74">
        <f>FirstRuns!K73+SecondRuns!K73</f>
        <v>0</v>
      </c>
      <c r="M74">
        <f t="shared" si="64"/>
        <v>0</v>
      </c>
      <c r="N74">
        <f t="shared" si="65"/>
        <v>0</v>
      </c>
      <c r="O74">
        <f t="shared" si="66"/>
        <v>0</v>
      </c>
      <c r="P74" s="2" t="e">
        <f t="shared" si="67"/>
        <v>#DIV/0!</v>
      </c>
      <c r="Q74" s="2" t="e">
        <f t="shared" si="68"/>
        <v>#DIV/0!</v>
      </c>
      <c r="R74" s="2" t="e">
        <f t="shared" si="69"/>
        <v>#DIV/0!</v>
      </c>
      <c r="S74">
        <f t="shared" si="42"/>
        <v>0</v>
      </c>
      <c r="T74">
        <f t="shared" si="70"/>
        <v>0</v>
      </c>
      <c r="U74">
        <f t="shared" si="44"/>
        <v>0</v>
      </c>
      <c r="V74">
        <f t="shared" si="71"/>
        <v>0</v>
      </c>
      <c r="W74">
        <f t="shared" si="72"/>
        <v>0</v>
      </c>
      <c r="X74">
        <f t="shared" si="78"/>
        <v>0</v>
      </c>
      <c r="Y74" t="e">
        <f t="shared" si="73"/>
        <v>#DIV/0!</v>
      </c>
      <c r="Z74" t="e">
        <f t="shared" si="74"/>
        <v>#DIV/0!</v>
      </c>
      <c r="AB74" t="e">
        <f t="shared" si="75"/>
        <v>#DIV/0!</v>
      </c>
      <c r="AC74" t="e">
        <f t="shared" si="76"/>
        <v>#DIV/0!</v>
      </c>
      <c r="AE74">
        <f t="shared" si="77"/>
        <v>0</v>
      </c>
    </row>
    <row r="75" spans="1:31" x14ac:dyDescent="0.25">
      <c r="A75">
        <f>FirstRuns!A74</f>
        <v>0</v>
      </c>
      <c r="B75">
        <f>SecondRuns!A74</f>
        <v>0</v>
      </c>
      <c r="C75">
        <f>FirstRuns!B74+SecondRuns!B74</f>
        <v>0</v>
      </c>
      <c r="D75">
        <f>FirstRuns!C74+SecondRuns!C74</f>
        <v>0</v>
      </c>
      <c r="E75">
        <f>FirstRuns!D74+SecondRuns!D74</f>
        <v>0</v>
      </c>
      <c r="F75">
        <f>FirstRuns!E74+SecondRuns!E74</f>
        <v>0</v>
      </c>
      <c r="G75">
        <f>FirstRuns!F74+SecondRuns!F74</f>
        <v>0</v>
      </c>
      <c r="H75">
        <f>FirstRuns!G74+SecondRuns!G74</f>
        <v>0</v>
      </c>
      <c r="I75">
        <f>FirstRuns!H74+SecondRuns!H74</f>
        <v>0</v>
      </c>
      <c r="J75">
        <f>FirstRuns!I74+SecondRuns!I74</f>
        <v>0</v>
      </c>
      <c r="K75">
        <f>FirstRuns!J74+SecondRuns!J74</f>
        <v>0</v>
      </c>
      <c r="L75">
        <f>FirstRuns!K74+SecondRuns!K74</f>
        <v>0</v>
      </c>
      <c r="M75">
        <f t="shared" si="64"/>
        <v>0</v>
      </c>
      <c r="N75">
        <f t="shared" si="65"/>
        <v>0</v>
      </c>
      <c r="O75">
        <f t="shared" si="66"/>
        <v>0</v>
      </c>
      <c r="P75" s="2" t="e">
        <f t="shared" si="67"/>
        <v>#DIV/0!</v>
      </c>
      <c r="Q75" s="2" t="e">
        <f t="shared" si="68"/>
        <v>#DIV/0!</v>
      </c>
      <c r="R75" s="2" t="e">
        <f t="shared" si="69"/>
        <v>#DIV/0!</v>
      </c>
      <c r="S75">
        <f t="shared" si="42"/>
        <v>0</v>
      </c>
      <c r="T75">
        <f t="shared" si="70"/>
        <v>0</v>
      </c>
      <c r="U75">
        <f t="shared" si="44"/>
        <v>0</v>
      </c>
      <c r="V75">
        <f t="shared" si="71"/>
        <v>0</v>
      </c>
      <c r="W75">
        <f t="shared" si="72"/>
        <v>0</v>
      </c>
      <c r="X75">
        <f t="shared" si="78"/>
        <v>0</v>
      </c>
      <c r="Y75" t="e">
        <f t="shared" si="73"/>
        <v>#DIV/0!</v>
      </c>
      <c r="Z75" t="e">
        <f t="shared" si="74"/>
        <v>#DIV/0!</v>
      </c>
      <c r="AB75" t="e">
        <f t="shared" si="75"/>
        <v>#DIV/0!</v>
      </c>
      <c r="AC75" t="e">
        <f t="shared" si="76"/>
        <v>#DIV/0!</v>
      </c>
      <c r="AE75">
        <f t="shared" si="77"/>
        <v>0</v>
      </c>
    </row>
    <row r="76" spans="1:31" x14ac:dyDescent="0.25">
      <c r="A76">
        <f>FirstRuns!A75</f>
        <v>0</v>
      </c>
      <c r="B76">
        <f>SecondRuns!A75</f>
        <v>0</v>
      </c>
      <c r="C76">
        <f>FirstRuns!B75+SecondRuns!B75</f>
        <v>0</v>
      </c>
      <c r="D76">
        <f>FirstRuns!C75+SecondRuns!C75</f>
        <v>0</v>
      </c>
      <c r="E76">
        <f>FirstRuns!D75+SecondRuns!D75</f>
        <v>0</v>
      </c>
      <c r="F76">
        <f>FirstRuns!E75+SecondRuns!E75</f>
        <v>0</v>
      </c>
      <c r="G76">
        <f>FirstRuns!F75+SecondRuns!F75</f>
        <v>0</v>
      </c>
      <c r="H76">
        <f>FirstRuns!G75+SecondRuns!G75</f>
        <v>0</v>
      </c>
      <c r="I76">
        <f>FirstRuns!H75+SecondRuns!H75</f>
        <v>0</v>
      </c>
      <c r="J76">
        <f>FirstRuns!I75+SecondRuns!I75</f>
        <v>0</v>
      </c>
      <c r="K76">
        <f>FirstRuns!J75+SecondRuns!J75</f>
        <v>0</v>
      </c>
      <c r="L76">
        <f>FirstRuns!K75+SecondRuns!K75</f>
        <v>0</v>
      </c>
      <c r="M76">
        <f t="shared" si="64"/>
        <v>0</v>
      </c>
      <c r="N76">
        <f t="shared" si="65"/>
        <v>0</v>
      </c>
      <c r="O76">
        <f t="shared" si="66"/>
        <v>0</v>
      </c>
      <c r="P76" s="2" t="e">
        <f t="shared" si="67"/>
        <v>#DIV/0!</v>
      </c>
      <c r="Q76" s="2" t="e">
        <f t="shared" si="68"/>
        <v>#DIV/0!</v>
      </c>
      <c r="R76" s="2" t="e">
        <f t="shared" si="69"/>
        <v>#DIV/0!</v>
      </c>
      <c r="S76">
        <f t="shared" si="42"/>
        <v>0</v>
      </c>
      <c r="T76">
        <f t="shared" si="70"/>
        <v>0</v>
      </c>
      <c r="U76">
        <f t="shared" si="44"/>
        <v>0</v>
      </c>
      <c r="V76">
        <f t="shared" si="71"/>
        <v>0</v>
      </c>
      <c r="W76">
        <f t="shared" si="72"/>
        <v>0</v>
      </c>
      <c r="X76">
        <f t="shared" si="78"/>
        <v>0</v>
      </c>
      <c r="Y76" t="e">
        <f t="shared" si="73"/>
        <v>#DIV/0!</v>
      </c>
      <c r="Z76" t="e">
        <f t="shared" si="74"/>
        <v>#DIV/0!</v>
      </c>
      <c r="AB76" t="e">
        <f t="shared" si="75"/>
        <v>#DIV/0!</v>
      </c>
      <c r="AC76" t="e">
        <f t="shared" si="76"/>
        <v>#DIV/0!</v>
      </c>
      <c r="AE76">
        <f t="shared" si="77"/>
        <v>0</v>
      </c>
    </row>
    <row r="77" spans="1:31" x14ac:dyDescent="0.25">
      <c r="A77">
        <f>FirstRuns!A76</f>
        <v>0</v>
      </c>
      <c r="B77">
        <f>SecondRuns!A76</f>
        <v>0</v>
      </c>
      <c r="C77">
        <f>FirstRuns!B76+SecondRuns!B76</f>
        <v>0</v>
      </c>
      <c r="D77">
        <f>FirstRuns!C76+SecondRuns!C76</f>
        <v>0</v>
      </c>
      <c r="E77">
        <f>FirstRuns!D76+SecondRuns!D76</f>
        <v>0</v>
      </c>
      <c r="F77">
        <f>FirstRuns!E76+SecondRuns!E76</f>
        <v>0</v>
      </c>
      <c r="G77">
        <f>FirstRuns!F76+SecondRuns!F76</f>
        <v>0</v>
      </c>
      <c r="H77">
        <f>FirstRuns!G76+SecondRuns!G76</f>
        <v>0</v>
      </c>
      <c r="I77">
        <f>FirstRuns!H76+SecondRuns!H76</f>
        <v>0</v>
      </c>
      <c r="J77">
        <f>FirstRuns!I76+SecondRuns!I76</f>
        <v>0</v>
      </c>
      <c r="K77">
        <f>FirstRuns!J76+SecondRuns!J76</f>
        <v>0</v>
      </c>
      <c r="L77">
        <f>FirstRuns!K76+SecondRuns!K76</f>
        <v>0</v>
      </c>
      <c r="M77">
        <f t="shared" si="64"/>
        <v>0</v>
      </c>
      <c r="N77">
        <f t="shared" si="65"/>
        <v>0</v>
      </c>
      <c r="O77">
        <f t="shared" si="66"/>
        <v>0</v>
      </c>
      <c r="P77" s="2" t="e">
        <f t="shared" si="67"/>
        <v>#DIV/0!</v>
      </c>
      <c r="Q77" s="2" t="e">
        <f t="shared" si="68"/>
        <v>#DIV/0!</v>
      </c>
      <c r="R77" s="2" t="e">
        <f t="shared" si="69"/>
        <v>#DIV/0!</v>
      </c>
      <c r="S77">
        <f t="shared" si="42"/>
        <v>0</v>
      </c>
      <c r="T77">
        <f t="shared" si="70"/>
        <v>0</v>
      </c>
      <c r="U77">
        <f t="shared" si="44"/>
        <v>0</v>
      </c>
      <c r="V77">
        <f t="shared" si="71"/>
        <v>0</v>
      </c>
      <c r="W77">
        <f t="shared" si="72"/>
        <v>0</v>
      </c>
      <c r="X77">
        <f t="shared" si="78"/>
        <v>0</v>
      </c>
      <c r="Y77" t="e">
        <f t="shared" si="73"/>
        <v>#DIV/0!</v>
      </c>
      <c r="Z77" t="e">
        <f t="shared" si="74"/>
        <v>#DIV/0!</v>
      </c>
      <c r="AB77" t="e">
        <f t="shared" si="75"/>
        <v>#DIV/0!</v>
      </c>
      <c r="AC77" t="e">
        <f t="shared" si="76"/>
        <v>#DIV/0!</v>
      </c>
      <c r="AE77">
        <f t="shared" si="77"/>
        <v>0</v>
      </c>
    </row>
    <row r="78" spans="1:31" x14ac:dyDescent="0.25">
      <c r="A78">
        <f>FirstRuns!A77</f>
        <v>0</v>
      </c>
      <c r="B78">
        <f>SecondRuns!A77</f>
        <v>0</v>
      </c>
      <c r="C78">
        <f>FirstRuns!B77+SecondRuns!B77</f>
        <v>0</v>
      </c>
      <c r="D78">
        <f>FirstRuns!C77+SecondRuns!C77</f>
        <v>0</v>
      </c>
      <c r="E78">
        <f>FirstRuns!D77+SecondRuns!D77</f>
        <v>0</v>
      </c>
      <c r="F78">
        <f>FirstRuns!E77+SecondRuns!E77</f>
        <v>0</v>
      </c>
      <c r="G78">
        <f>FirstRuns!F77+SecondRuns!F77</f>
        <v>0</v>
      </c>
      <c r="H78">
        <f>FirstRuns!G77+SecondRuns!G77</f>
        <v>0</v>
      </c>
      <c r="I78">
        <f>FirstRuns!H77+SecondRuns!H77</f>
        <v>0</v>
      </c>
      <c r="J78">
        <f>FirstRuns!I77+SecondRuns!I77</f>
        <v>0</v>
      </c>
      <c r="K78">
        <f>FirstRuns!J77+SecondRuns!J77</f>
        <v>0</v>
      </c>
      <c r="L78">
        <f>FirstRuns!K77+SecondRuns!K77</f>
        <v>0</v>
      </c>
      <c r="M78">
        <f t="shared" si="64"/>
        <v>0</v>
      </c>
      <c r="N78">
        <f t="shared" si="65"/>
        <v>0</v>
      </c>
      <c r="O78">
        <f t="shared" si="66"/>
        <v>0</v>
      </c>
      <c r="P78" s="2" t="e">
        <f t="shared" si="67"/>
        <v>#DIV/0!</v>
      </c>
      <c r="Q78" s="2" t="e">
        <f t="shared" si="68"/>
        <v>#DIV/0!</v>
      </c>
      <c r="R78" s="2" t="e">
        <f t="shared" si="69"/>
        <v>#DIV/0!</v>
      </c>
      <c r="S78">
        <f t="shared" si="42"/>
        <v>0</v>
      </c>
      <c r="T78">
        <f t="shared" si="70"/>
        <v>0</v>
      </c>
      <c r="U78">
        <f t="shared" si="44"/>
        <v>0</v>
      </c>
      <c r="V78">
        <f t="shared" si="71"/>
        <v>0</v>
      </c>
      <c r="W78">
        <f t="shared" si="72"/>
        <v>0</v>
      </c>
      <c r="X78">
        <f t="shared" si="78"/>
        <v>0</v>
      </c>
      <c r="Y78" t="e">
        <f t="shared" si="73"/>
        <v>#DIV/0!</v>
      </c>
      <c r="Z78" t="e">
        <f t="shared" si="74"/>
        <v>#DIV/0!</v>
      </c>
      <c r="AB78" t="e">
        <f t="shared" si="75"/>
        <v>#DIV/0!</v>
      </c>
      <c r="AC78" t="e">
        <f t="shared" si="76"/>
        <v>#DIV/0!</v>
      </c>
      <c r="AE78">
        <f t="shared" si="77"/>
        <v>0</v>
      </c>
    </row>
    <row r="79" spans="1:31" x14ac:dyDescent="0.25">
      <c r="A79">
        <f>FirstRuns!A78</f>
        <v>0</v>
      </c>
      <c r="B79">
        <f>SecondRuns!A78</f>
        <v>0</v>
      </c>
      <c r="C79">
        <f>FirstRuns!B78+SecondRuns!B78</f>
        <v>0</v>
      </c>
      <c r="D79">
        <f>FirstRuns!C78+SecondRuns!C78</f>
        <v>0</v>
      </c>
      <c r="E79">
        <f>FirstRuns!D78+SecondRuns!D78</f>
        <v>0</v>
      </c>
      <c r="F79">
        <f>FirstRuns!E78+SecondRuns!E78</f>
        <v>0</v>
      </c>
      <c r="G79">
        <f>FirstRuns!F78+SecondRuns!F78</f>
        <v>0</v>
      </c>
      <c r="H79">
        <f>FirstRuns!G78+SecondRuns!G78</f>
        <v>0</v>
      </c>
      <c r="I79">
        <f>FirstRuns!H78+SecondRuns!H78</f>
        <v>0</v>
      </c>
      <c r="J79">
        <f>FirstRuns!I78+SecondRuns!I78</f>
        <v>0</v>
      </c>
      <c r="K79">
        <f>FirstRuns!J78+SecondRuns!J78</f>
        <v>0</v>
      </c>
      <c r="L79">
        <f>FirstRuns!K78+SecondRuns!K78</f>
        <v>0</v>
      </c>
      <c r="M79">
        <f t="shared" si="64"/>
        <v>0</v>
      </c>
      <c r="N79">
        <f t="shared" si="65"/>
        <v>0</v>
      </c>
      <c r="O79">
        <f t="shared" si="66"/>
        <v>0</v>
      </c>
      <c r="P79" s="2" t="e">
        <f t="shared" si="67"/>
        <v>#DIV/0!</v>
      </c>
      <c r="Q79" s="2" t="e">
        <f t="shared" si="68"/>
        <v>#DIV/0!</v>
      </c>
      <c r="R79" s="2" t="e">
        <f t="shared" si="69"/>
        <v>#DIV/0!</v>
      </c>
      <c r="S79">
        <f t="shared" si="42"/>
        <v>0</v>
      </c>
      <c r="T79">
        <f t="shared" si="70"/>
        <v>0</v>
      </c>
      <c r="U79">
        <f t="shared" si="44"/>
        <v>0</v>
      </c>
      <c r="V79">
        <f t="shared" si="71"/>
        <v>0</v>
      </c>
      <c r="W79">
        <f t="shared" si="72"/>
        <v>0</v>
      </c>
      <c r="X79">
        <f t="shared" si="78"/>
        <v>0</v>
      </c>
      <c r="Y79" t="e">
        <f t="shared" si="73"/>
        <v>#DIV/0!</v>
      </c>
      <c r="Z79" t="e">
        <f t="shared" si="74"/>
        <v>#DIV/0!</v>
      </c>
      <c r="AB79" t="e">
        <f t="shared" si="75"/>
        <v>#DIV/0!</v>
      </c>
      <c r="AC79" t="e">
        <f t="shared" si="76"/>
        <v>#DIV/0!</v>
      </c>
      <c r="AE79">
        <f t="shared" si="77"/>
        <v>0</v>
      </c>
    </row>
    <row r="80" spans="1:31" x14ac:dyDescent="0.25">
      <c r="P80" s="2"/>
      <c r="Q80" s="2"/>
      <c r="R80" s="2"/>
    </row>
    <row r="81" spans="16:18" x14ac:dyDescent="0.25">
      <c r="P81" s="2"/>
      <c r="Q81" s="2"/>
      <c r="R81" s="2"/>
    </row>
    <row r="82" spans="16:18" x14ac:dyDescent="0.25">
      <c r="P82" s="2"/>
      <c r="Q82" s="2"/>
      <c r="R82" s="2"/>
    </row>
    <row r="83" spans="16:18" x14ac:dyDescent="0.25">
      <c r="P83" s="2"/>
      <c r="Q83" s="2"/>
      <c r="R83" s="2"/>
    </row>
    <row r="84" spans="16:18" x14ac:dyDescent="0.25">
      <c r="P84" s="2"/>
      <c r="Q84" s="2"/>
      <c r="R84" s="2"/>
    </row>
    <row r="85" spans="16:18" x14ac:dyDescent="0.25">
      <c r="P85" s="2"/>
      <c r="Q85" s="2"/>
      <c r="R85" s="2"/>
    </row>
  </sheetData>
  <conditionalFormatting sqref="C3:D79">
    <cfRule type="cellIs" dxfId="10" priority="10" operator="greaterThan">
      <formula>1000</formula>
    </cfRule>
  </conditionalFormatting>
  <conditionalFormatting sqref="P3:Q79">
    <cfRule type="cellIs" dxfId="9" priority="6" stopIfTrue="1" operator="lessThan">
      <formula>0.4</formula>
    </cfRule>
    <cfRule type="cellIs" dxfId="8" priority="7" stopIfTrue="1" operator="greaterThan">
      <formula>0.6</formula>
    </cfRule>
    <cfRule type="cellIs" dxfId="7" priority="8" stopIfTrue="1" operator="lessThan">
      <formula>0.48</formula>
    </cfRule>
    <cfRule type="cellIs" dxfId="6" priority="9" operator="greaterThan">
      <formula>0.52</formula>
    </cfRule>
  </conditionalFormatting>
  <conditionalFormatting sqref="R3:R79">
    <cfRule type="cellIs" dxfId="5" priority="3" operator="greaterThan">
      <formula>0.4</formula>
    </cfRule>
    <cfRule type="cellIs" dxfId="4" priority="4" stopIfTrue="1" operator="greaterThan">
      <formula>0.1</formula>
    </cfRule>
    <cfRule type="cellIs" dxfId="3" priority="5" operator="greaterThan">
      <formula>0.05</formula>
    </cfRule>
  </conditionalFormatting>
  <conditionalFormatting sqref="Y3:Z79">
    <cfRule type="cellIs" dxfId="2" priority="1" operator="between">
      <formula>0.05</formula>
      <formula>0.15</formula>
    </cfRule>
    <cfRule type="cellIs" dxfId="1" priority="2" operator="between">
      <formula>0.001</formula>
      <formula>0.05</formula>
    </cfRule>
  </conditionalFormatting>
  <conditionalFormatting sqref="AB3:AC79">
    <cfRule type="cellIs" dxfId="0" priority="1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FirstRuns</vt:lpstr>
      <vt:lpstr>SecondRuns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Davies</dc:creator>
  <cp:lastModifiedBy>Ann Davies</cp:lastModifiedBy>
  <dcterms:created xsi:type="dcterms:W3CDTF">2026-01-09T11:17:00Z</dcterms:created>
  <dcterms:modified xsi:type="dcterms:W3CDTF">2026-01-11T21:19:34Z</dcterms:modified>
</cp:coreProperties>
</file>
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ivity_Data\Mancala_github\MancalaGames\analysis\data\"/>
    </mc:Choice>
  </mc:AlternateContent>
  <xr:revisionPtr revIDLastSave="0" documentId="13_ncr:1_{ECFA3398-96EB-4A40-90AE-E476581B6E68}" xr6:coauthVersionLast="47" xr6:coauthVersionMax="47" xr10:uidLastSave="{00000000-0000-0000-0000-000000000000}"/>
  <bookViews>
    <workbookView xWindow="31440" yWindow="1650" windowWidth="25410" windowHeight="14265" xr2:uid="{8CFCA730-4EDD-4AF7-80E4-9848B77F6D14}"/>
  </bookViews>
  <sheets>
    <sheet name="Fairness" sheetId="1" r:id="rId1"/>
  </sheets>
  <definedNames>
    <definedName name="_xlnm._FilterDatabase" localSheetId="0" hidden="1">Fairness!$A$1:$AI$142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4" i="1" l="1"/>
  <c r="AG2" i="1"/>
  <c r="AG2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6" i="1"/>
  <c r="AG97" i="1"/>
  <c r="AG98" i="1"/>
  <c r="AG99" i="1"/>
  <c r="AG100" i="1"/>
  <c r="AG101" i="1"/>
  <c r="AG102" i="1"/>
  <c r="AG103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X84" i="1"/>
  <c r="AF84" i="1" s="1"/>
  <c r="J42" i="1" l="1"/>
  <c r="J43" i="1"/>
  <c r="J44" i="1"/>
  <c r="J45" i="1"/>
  <c r="J46" i="1"/>
  <c r="J47" i="1"/>
  <c r="J48" i="1"/>
  <c r="J49" i="1"/>
  <c r="J50" i="1"/>
  <c r="J51" i="1"/>
  <c r="J54" i="1"/>
  <c r="J55" i="1"/>
  <c r="J57" i="1"/>
  <c r="J58" i="1"/>
  <c r="J59" i="1"/>
  <c r="J60" i="1"/>
  <c r="J61" i="1"/>
  <c r="J62" i="1"/>
  <c r="J63" i="1"/>
  <c r="J64" i="1"/>
  <c r="J65" i="1"/>
  <c r="J66" i="1"/>
  <c r="J67" i="1"/>
  <c r="J68" i="1"/>
  <c r="J72" i="1"/>
  <c r="J73" i="1"/>
  <c r="J74" i="1"/>
  <c r="J75" i="1"/>
  <c r="J76" i="1"/>
  <c r="J78" i="1"/>
  <c r="J79" i="1"/>
  <c r="J80" i="1"/>
  <c r="J81" i="1"/>
  <c r="J82" i="1"/>
  <c r="J85" i="1"/>
  <c r="J86" i="1"/>
  <c r="J87" i="1"/>
  <c r="J88" i="1"/>
  <c r="J90" i="1"/>
  <c r="J91" i="1"/>
  <c r="J92" i="1"/>
  <c r="J93" i="1"/>
  <c r="J94" i="1"/>
  <c r="J95" i="1"/>
  <c r="J96" i="1"/>
  <c r="J97" i="1"/>
  <c r="J98" i="1"/>
  <c r="J99" i="1"/>
  <c r="J102" i="1"/>
  <c r="J103" i="1"/>
  <c r="J105" i="1"/>
  <c r="J106" i="1"/>
  <c r="J107" i="1"/>
  <c r="J109" i="1"/>
  <c r="J110" i="1"/>
  <c r="J112" i="1"/>
  <c r="J114" i="1"/>
  <c r="J115" i="1"/>
  <c r="J116" i="1"/>
  <c r="J118" i="1"/>
  <c r="J119" i="1"/>
  <c r="J123" i="1"/>
  <c r="J124" i="1"/>
  <c r="J125" i="1"/>
  <c r="J126" i="1"/>
  <c r="J127" i="1"/>
  <c r="J128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41" i="1"/>
  <c r="AD14" i="1" l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 s="1"/>
  <c r="AD23" i="1" a="1"/>
  <c r="AD23" i="1" s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 s="1"/>
  <c r="AD30" i="1" a="1"/>
  <c r="AD30" i="1" s="1"/>
  <c r="AD31" i="1" a="1"/>
  <c r="AD31" i="1" s="1"/>
  <c r="AD32" i="1" a="1"/>
  <c r="AD32" i="1" s="1"/>
  <c r="AD33" i="1" a="1"/>
  <c r="AD33" i="1" s="1"/>
  <c r="AD34" i="1" a="1"/>
  <c r="AD34" i="1" s="1"/>
  <c r="AD35" i="1" a="1"/>
  <c r="AD35" i="1" s="1"/>
  <c r="AD36" i="1" a="1"/>
  <c r="AD36" i="1" s="1"/>
  <c r="AD37" i="1" a="1"/>
  <c r="AD37" i="1" s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 s="1"/>
  <c r="AD62" i="1" a="1"/>
  <c r="AD62" i="1" s="1"/>
  <c r="AD63" i="1" a="1"/>
  <c r="AD63" i="1" s="1"/>
  <c r="AD64" i="1" a="1"/>
  <c r="AD64" i="1" s="1"/>
  <c r="AD65" i="1" a="1"/>
  <c r="AD65" i="1" s="1"/>
  <c r="AD66" i="1" a="1"/>
  <c r="AD66" i="1" s="1"/>
  <c r="AD67" i="1" a="1"/>
  <c r="AD67" i="1" s="1"/>
  <c r="AD68" i="1" a="1"/>
  <c r="AD68" i="1" s="1"/>
  <c r="AD69" i="1" a="1"/>
  <c r="AD69" i="1" s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 s="1"/>
  <c r="AD94" i="1" a="1"/>
  <c r="AD94" i="1" s="1"/>
  <c r="AD95" i="1" a="1"/>
  <c r="AD95" i="1" s="1"/>
  <c r="AD96" i="1" a="1"/>
  <c r="AD96" i="1" s="1"/>
  <c r="AD97" i="1" a="1"/>
  <c r="AD97" i="1" s="1"/>
  <c r="AD98" i="1" a="1"/>
  <c r="AD98" i="1" s="1"/>
  <c r="AD99" i="1" a="1"/>
  <c r="AD99" i="1" s="1"/>
  <c r="AD100" i="1" a="1"/>
  <c r="AD100" i="1" s="1"/>
  <c r="AD101" i="1" a="1"/>
  <c r="AD101" i="1" s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123" i="1" a="1"/>
  <c r="AD123" i="1" s="1"/>
  <c r="AD124" i="1" a="1"/>
  <c r="AD124" i="1" s="1"/>
  <c r="AD125" i="1" a="1"/>
  <c r="AD125" i="1" s="1"/>
  <c r="AD126" i="1" a="1"/>
  <c r="AD126" i="1" s="1"/>
  <c r="AD127" i="1" a="1"/>
  <c r="AD127" i="1" s="1"/>
  <c r="AD128" i="1" a="1"/>
  <c r="AD128" i="1" s="1"/>
  <c r="AD129" i="1" a="1"/>
  <c r="AD129" i="1" s="1"/>
  <c r="AD130" i="1" a="1"/>
  <c r="AD130" i="1" s="1"/>
  <c r="AD131" i="1" a="1"/>
  <c r="AD131" i="1" s="1"/>
  <c r="AD132" i="1" a="1"/>
  <c r="AD132" i="1" s="1"/>
  <c r="AD133" i="1" a="1"/>
  <c r="AD133" i="1" s="1"/>
  <c r="AD134" i="1" a="1"/>
  <c r="AD134" i="1" s="1"/>
  <c r="AD135" i="1" a="1"/>
  <c r="AD135" i="1" s="1"/>
  <c r="AD136" i="1" a="1"/>
  <c r="AD136" i="1" s="1"/>
  <c r="AD137" i="1" a="1"/>
  <c r="AD137" i="1" s="1"/>
  <c r="AD138" i="1" a="1"/>
  <c r="AD138" i="1" s="1"/>
  <c r="AD139" i="1" a="1"/>
  <c r="AD139" i="1" s="1"/>
  <c r="AD140" i="1" a="1"/>
  <c r="AD140" i="1" s="1"/>
  <c r="AD141" i="1" a="1"/>
  <c r="AD141" i="1" s="1"/>
  <c r="AD142" i="1" a="1"/>
  <c r="AD142" i="1" s="1"/>
  <c r="AD3" i="1" a="1"/>
  <c r="AD3" i="1" s="1"/>
  <c r="AD4" i="1" a="1"/>
  <c r="AD4" i="1" s="1"/>
  <c r="AD5" i="1" a="1"/>
  <c r="AD5" i="1" s="1"/>
  <c r="AD6" i="1" a="1"/>
  <c r="AD6" i="1" s="1"/>
  <c r="AD7" i="1" a="1"/>
  <c r="AD7" i="1" s="1"/>
  <c r="AD8" i="1" a="1"/>
  <c r="AD8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2" i="1" a="1"/>
  <c r="AD2" i="1" s="1"/>
  <c r="X77" i="1" l="1"/>
  <c r="AF77" i="1" s="1"/>
  <c r="AE77" i="1" l="1"/>
  <c r="X79" i="1"/>
  <c r="AF79" i="1" s="1"/>
  <c r="X3" i="1"/>
  <c r="AF3" i="1" s="1"/>
  <c r="X4" i="1"/>
  <c r="AF4" i="1" s="1"/>
  <c r="X5" i="1"/>
  <c r="AF5" i="1" s="1"/>
  <c r="X6" i="1"/>
  <c r="AF6" i="1" s="1"/>
  <c r="X7" i="1"/>
  <c r="AF7" i="1" s="1"/>
  <c r="X8" i="1"/>
  <c r="AF8" i="1" s="1"/>
  <c r="X9" i="1"/>
  <c r="AF9" i="1" s="1"/>
  <c r="X10" i="1"/>
  <c r="AF10" i="1" s="1"/>
  <c r="X11" i="1"/>
  <c r="AF11" i="1" s="1"/>
  <c r="X12" i="1"/>
  <c r="AF12" i="1" s="1"/>
  <c r="X13" i="1"/>
  <c r="AF13" i="1" s="1"/>
  <c r="X14" i="1"/>
  <c r="AF14" i="1" s="1"/>
  <c r="X15" i="1"/>
  <c r="AF15" i="1" s="1"/>
  <c r="X16" i="1"/>
  <c r="AF16" i="1" s="1"/>
  <c r="X17" i="1"/>
  <c r="AF17" i="1" s="1"/>
  <c r="X18" i="1"/>
  <c r="X19" i="1"/>
  <c r="AF19" i="1" s="1"/>
  <c r="X20" i="1"/>
  <c r="AF20" i="1" s="1"/>
  <c r="X21" i="1"/>
  <c r="AF21" i="1" s="1"/>
  <c r="X22" i="1"/>
  <c r="AF22" i="1" s="1"/>
  <c r="X23" i="1"/>
  <c r="AF23" i="1" s="1"/>
  <c r="X24" i="1"/>
  <c r="AF24" i="1" s="1"/>
  <c r="X25" i="1"/>
  <c r="AF25" i="1" s="1"/>
  <c r="X26" i="1"/>
  <c r="AF26" i="1" s="1"/>
  <c r="X27" i="1"/>
  <c r="AF27" i="1" s="1"/>
  <c r="X28" i="1"/>
  <c r="AF28" i="1" s="1"/>
  <c r="X29" i="1"/>
  <c r="AF29" i="1" s="1"/>
  <c r="X30" i="1"/>
  <c r="AF30" i="1" s="1"/>
  <c r="X31" i="1"/>
  <c r="AF31" i="1" s="1"/>
  <c r="X32" i="1"/>
  <c r="AF32" i="1" s="1"/>
  <c r="X33" i="1"/>
  <c r="AF33" i="1" s="1"/>
  <c r="X34" i="1"/>
  <c r="AF34" i="1" s="1"/>
  <c r="X35" i="1"/>
  <c r="AF35" i="1" s="1"/>
  <c r="X36" i="1"/>
  <c r="AF36" i="1" s="1"/>
  <c r="X37" i="1"/>
  <c r="AF37" i="1" s="1"/>
  <c r="X38" i="1"/>
  <c r="AF38" i="1" s="1"/>
  <c r="X39" i="1"/>
  <c r="AF39" i="1" s="1"/>
  <c r="X40" i="1"/>
  <c r="AF40" i="1" s="1"/>
  <c r="X41" i="1"/>
  <c r="AF41" i="1" s="1"/>
  <c r="X42" i="1"/>
  <c r="AF42" i="1" s="1"/>
  <c r="X43" i="1"/>
  <c r="AF43" i="1" s="1"/>
  <c r="X44" i="1"/>
  <c r="AF44" i="1" s="1"/>
  <c r="X45" i="1"/>
  <c r="AF45" i="1" s="1"/>
  <c r="X46" i="1"/>
  <c r="AF46" i="1" s="1"/>
  <c r="X47" i="1"/>
  <c r="AF47" i="1" s="1"/>
  <c r="X48" i="1"/>
  <c r="AF48" i="1" s="1"/>
  <c r="X49" i="1"/>
  <c r="AF49" i="1" s="1"/>
  <c r="X50" i="1"/>
  <c r="AF50" i="1" s="1"/>
  <c r="X51" i="1"/>
  <c r="AF51" i="1" s="1"/>
  <c r="X52" i="1"/>
  <c r="AF52" i="1" s="1"/>
  <c r="X53" i="1"/>
  <c r="AF53" i="1" s="1"/>
  <c r="X54" i="1"/>
  <c r="AF54" i="1" s="1"/>
  <c r="X55" i="1"/>
  <c r="AF55" i="1" s="1"/>
  <c r="X56" i="1"/>
  <c r="AF56" i="1" s="1"/>
  <c r="X57" i="1"/>
  <c r="AF57" i="1" s="1"/>
  <c r="X58" i="1"/>
  <c r="AF58" i="1" s="1"/>
  <c r="X59" i="1"/>
  <c r="AF59" i="1" s="1"/>
  <c r="X60" i="1"/>
  <c r="AF60" i="1" s="1"/>
  <c r="X61" i="1"/>
  <c r="AF61" i="1" s="1"/>
  <c r="X62" i="1"/>
  <c r="AF62" i="1" s="1"/>
  <c r="X63" i="1"/>
  <c r="AF63" i="1" s="1"/>
  <c r="X64" i="1"/>
  <c r="AF64" i="1" s="1"/>
  <c r="X65" i="1"/>
  <c r="AF65" i="1" s="1"/>
  <c r="X66" i="1"/>
  <c r="AF66" i="1" s="1"/>
  <c r="X67" i="1"/>
  <c r="AF67" i="1" s="1"/>
  <c r="X68" i="1"/>
  <c r="AF68" i="1" s="1"/>
  <c r="X69" i="1"/>
  <c r="AF69" i="1" s="1"/>
  <c r="X70" i="1"/>
  <c r="AF70" i="1" s="1"/>
  <c r="X71" i="1"/>
  <c r="AF71" i="1" s="1"/>
  <c r="X72" i="1"/>
  <c r="AF72" i="1" s="1"/>
  <c r="X73" i="1"/>
  <c r="AF73" i="1" s="1"/>
  <c r="X74" i="1"/>
  <c r="AF74" i="1" s="1"/>
  <c r="X75" i="1"/>
  <c r="AF75" i="1" s="1"/>
  <c r="X76" i="1"/>
  <c r="AF76" i="1" s="1"/>
  <c r="X78" i="1"/>
  <c r="AF78" i="1" s="1"/>
  <c r="X80" i="1"/>
  <c r="AF80" i="1" s="1"/>
  <c r="X81" i="1"/>
  <c r="AF81" i="1" s="1"/>
  <c r="X82" i="1"/>
  <c r="AF82" i="1" s="1"/>
  <c r="X83" i="1"/>
  <c r="AF83" i="1" s="1"/>
  <c r="X85" i="1"/>
  <c r="AF85" i="1" s="1"/>
  <c r="X86" i="1"/>
  <c r="AF86" i="1" s="1"/>
  <c r="X87" i="1"/>
  <c r="AF87" i="1" s="1"/>
  <c r="X88" i="1"/>
  <c r="AF88" i="1" s="1"/>
  <c r="X89" i="1"/>
  <c r="AF89" i="1" s="1"/>
  <c r="X90" i="1"/>
  <c r="AF90" i="1" s="1"/>
  <c r="X91" i="1"/>
  <c r="AF91" i="1" s="1"/>
  <c r="X92" i="1"/>
  <c r="AF92" i="1" s="1"/>
  <c r="X93" i="1"/>
  <c r="X94" i="1"/>
  <c r="X95" i="1"/>
  <c r="X96" i="1"/>
  <c r="AF96" i="1" s="1"/>
  <c r="X97" i="1"/>
  <c r="AF97" i="1" s="1"/>
  <c r="X98" i="1"/>
  <c r="AF98" i="1" s="1"/>
  <c r="X99" i="1"/>
  <c r="AF99" i="1" s="1"/>
  <c r="X100" i="1"/>
  <c r="AF100" i="1" s="1"/>
  <c r="X101" i="1"/>
  <c r="AF101" i="1" s="1"/>
  <c r="X102" i="1"/>
  <c r="AF102" i="1" s="1"/>
  <c r="X103" i="1"/>
  <c r="AF103" i="1" s="1"/>
  <c r="X104" i="1"/>
  <c r="X105" i="1"/>
  <c r="AF105" i="1" s="1"/>
  <c r="X106" i="1"/>
  <c r="AF106" i="1" s="1"/>
  <c r="X107" i="1"/>
  <c r="AF107" i="1" s="1"/>
  <c r="X108" i="1"/>
  <c r="AF108" i="1" s="1"/>
  <c r="X109" i="1"/>
  <c r="AF109" i="1" s="1"/>
  <c r="X110" i="1"/>
  <c r="AF110" i="1" s="1"/>
  <c r="X111" i="1"/>
  <c r="AF111" i="1" s="1"/>
  <c r="X112" i="1"/>
  <c r="AF112" i="1" s="1"/>
  <c r="X113" i="1"/>
  <c r="AF113" i="1" s="1"/>
  <c r="X114" i="1"/>
  <c r="AF114" i="1" s="1"/>
  <c r="X115" i="1"/>
  <c r="AF115" i="1" s="1"/>
  <c r="X116" i="1"/>
  <c r="AF116" i="1" s="1"/>
  <c r="X117" i="1"/>
  <c r="AF117" i="1" s="1"/>
  <c r="X118" i="1"/>
  <c r="AF118" i="1" s="1"/>
  <c r="X119" i="1"/>
  <c r="AF119" i="1" s="1"/>
  <c r="X120" i="1"/>
  <c r="AF120" i="1" s="1"/>
  <c r="X121" i="1"/>
  <c r="AF121" i="1" s="1"/>
  <c r="X122" i="1"/>
  <c r="AF122" i="1" s="1"/>
  <c r="X123" i="1"/>
  <c r="AF123" i="1" s="1"/>
  <c r="X124" i="1"/>
  <c r="AF124" i="1" s="1"/>
  <c r="X125" i="1"/>
  <c r="AF125" i="1" s="1"/>
  <c r="X126" i="1"/>
  <c r="AF126" i="1" s="1"/>
  <c r="X127" i="1"/>
  <c r="AF127" i="1" s="1"/>
  <c r="X128" i="1"/>
  <c r="AF128" i="1" s="1"/>
  <c r="X129" i="1"/>
  <c r="AF129" i="1" s="1"/>
  <c r="X130" i="1"/>
  <c r="AF130" i="1" s="1"/>
  <c r="X131" i="1"/>
  <c r="AF131" i="1" s="1"/>
  <c r="X132" i="1"/>
  <c r="AF132" i="1" s="1"/>
  <c r="X133" i="1"/>
  <c r="AF133" i="1" s="1"/>
  <c r="X134" i="1"/>
  <c r="AF134" i="1" s="1"/>
  <c r="X135" i="1"/>
  <c r="AF135" i="1" s="1"/>
  <c r="X136" i="1"/>
  <c r="AF136" i="1" s="1"/>
  <c r="X137" i="1"/>
  <c r="AF137" i="1" s="1"/>
  <c r="X138" i="1"/>
  <c r="AF138" i="1" s="1"/>
  <c r="X139" i="1"/>
  <c r="AF139" i="1" s="1"/>
  <c r="X140" i="1"/>
  <c r="AF140" i="1" s="1"/>
  <c r="X141" i="1"/>
  <c r="AF141" i="1" s="1"/>
  <c r="X142" i="1"/>
  <c r="AF142" i="1" s="1"/>
  <c r="X2" i="1"/>
  <c r="AF2" i="1" s="1"/>
  <c r="AF104" i="1" l="1"/>
  <c r="AE104" i="1"/>
  <c r="AF18" i="1"/>
  <c r="AE18" i="1"/>
  <c r="AE69" i="1"/>
  <c r="AE71" i="1"/>
  <c r="AE70" i="1"/>
  <c r="AE61" i="1"/>
  <c r="AE127" i="1"/>
  <c r="AE124" i="1"/>
  <c r="AE30" i="1"/>
  <c r="AE59" i="1"/>
  <c r="AE24" i="1"/>
  <c r="AE51" i="1"/>
  <c r="AE31" i="1"/>
  <c r="AE22" i="1"/>
  <c r="AE129" i="1"/>
  <c r="AE55" i="1"/>
  <c r="AE112" i="1"/>
  <c r="AE97" i="1"/>
  <c r="AE128" i="1"/>
  <c r="AE27" i="1"/>
  <c r="AE25" i="1"/>
  <c r="AE89" i="1"/>
  <c r="AE87" i="1"/>
  <c r="AE86" i="1"/>
  <c r="AE15" i="1"/>
  <c r="AE78" i="1"/>
  <c r="AE110" i="1"/>
  <c r="AE75" i="1"/>
  <c r="AE74" i="1"/>
  <c r="AE135" i="1"/>
  <c r="AE63" i="1"/>
  <c r="AE96" i="1"/>
  <c r="AE60" i="1"/>
  <c r="AE92" i="1"/>
  <c r="AE91" i="1"/>
  <c r="AE90" i="1"/>
  <c r="AE121" i="1"/>
  <c r="AE88" i="1"/>
  <c r="AE20" i="1"/>
  <c r="AE84" i="1"/>
  <c r="AE17" i="1"/>
  <c r="AE47" i="1"/>
  <c r="AE2" i="1"/>
  <c r="AE13" i="1"/>
  <c r="AE11" i="1"/>
  <c r="AE139" i="1"/>
  <c r="AE41" i="1"/>
  <c r="AE72" i="1"/>
  <c r="AE39" i="1"/>
  <c r="AE102" i="1"/>
  <c r="AE4" i="1"/>
  <c r="AE62" i="1"/>
  <c r="AE126" i="1"/>
  <c r="AE26" i="1"/>
  <c r="AE56" i="1"/>
  <c r="AE54" i="1"/>
  <c r="AE52" i="1"/>
  <c r="AE50" i="1"/>
  <c r="AE16" i="1"/>
  <c r="AE113" i="1"/>
  <c r="AE80" i="1"/>
  <c r="AE111" i="1"/>
  <c r="AE76" i="1"/>
  <c r="AE109" i="1"/>
  <c r="AE140" i="1"/>
  <c r="AE9" i="1"/>
  <c r="AE138" i="1"/>
  <c r="AE7" i="1"/>
  <c r="AE136" i="1"/>
  <c r="AE133" i="1"/>
  <c r="AE3" i="1"/>
  <c r="AE29" i="1"/>
  <c r="AE58" i="1"/>
  <c r="AE123" i="1"/>
  <c r="AE23" i="1"/>
  <c r="AE53" i="1"/>
  <c r="AE118" i="1"/>
  <c r="AE85" i="1"/>
  <c r="AE116" i="1"/>
  <c r="AE115" i="1"/>
  <c r="AE48" i="1"/>
  <c r="AE46" i="1"/>
  <c r="AE44" i="1"/>
  <c r="AE141" i="1"/>
  <c r="AE42" i="1"/>
  <c r="AE8" i="1"/>
  <c r="AE137" i="1"/>
  <c r="AE6" i="1"/>
  <c r="AE134" i="1"/>
  <c r="AE36" i="1"/>
  <c r="AE100" i="1"/>
  <c r="AE66" i="1"/>
  <c r="AE34" i="1"/>
  <c r="AE79" i="1"/>
  <c r="AE28" i="1"/>
  <c r="AE21" i="1"/>
  <c r="AE117" i="1"/>
  <c r="AE49" i="1"/>
  <c r="AE114" i="1"/>
  <c r="AE81" i="1"/>
  <c r="AE45" i="1"/>
  <c r="AE142" i="1"/>
  <c r="AE43" i="1"/>
  <c r="AE108" i="1"/>
  <c r="AE73" i="1"/>
  <c r="AE106" i="1"/>
  <c r="AE105" i="1"/>
  <c r="AE5" i="1"/>
  <c r="AE101" i="1"/>
  <c r="AE131" i="1"/>
  <c r="AE65" i="1"/>
  <c r="AE33" i="1"/>
  <c r="AE125" i="1"/>
  <c r="AE57" i="1"/>
  <c r="AE122" i="1"/>
  <c r="AE120" i="1"/>
  <c r="AE119" i="1"/>
  <c r="AE19" i="1"/>
  <c r="AE83" i="1"/>
  <c r="AE82" i="1"/>
  <c r="AE14" i="1"/>
  <c r="AE12" i="1"/>
  <c r="AE10" i="1"/>
  <c r="AE107" i="1"/>
  <c r="AE40" i="1"/>
  <c r="AE38" i="1"/>
  <c r="AE103" i="1"/>
  <c r="AE37" i="1"/>
  <c r="AE68" i="1"/>
  <c r="AE67" i="1"/>
  <c r="AE35" i="1"/>
  <c r="AE132" i="1"/>
  <c r="AE99" i="1"/>
  <c r="AE130" i="1"/>
  <c r="AE98" i="1"/>
  <c r="AE64" i="1"/>
  <c r="AE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<sst xmlns="http://schemas.openxmlformats.org/spreadsheetml/2006/main" count="205" uniqueCount="183">
  <si>
    <t>LOOPED</t>
  </si>
  <si>
    <t>MAX_TURNS</t>
  </si>
  <si>
    <t>TIE-Sf</t>
  </si>
  <si>
    <t>TIE-St</t>
  </si>
  <si>
    <t>WINf-Sf</t>
  </si>
  <si>
    <t>WINf-St</t>
  </si>
  <si>
    <t>WINt-Sf</t>
  </si>
  <si>
    <t>WINt-St</t>
  </si>
  <si>
    <t>no_result</t>
  </si>
  <si>
    <t>t_wins</t>
  </si>
  <si>
    <t>str_wins</t>
  </si>
  <si>
    <t>t_win_pct</t>
  </si>
  <si>
    <t>str_w_pct</t>
  </si>
  <si>
    <t>tie_pct</t>
  </si>
  <si>
    <t>win_pval</t>
  </si>
  <si>
    <t>starter_pval</t>
  </si>
  <si>
    <t>win_fair</t>
  </si>
  <si>
    <t>starter_fair</t>
  </si>
  <si>
    <t>Achochodi</t>
  </si>
  <si>
    <t>Adi</t>
  </si>
  <si>
    <t>Adi_II</t>
  </si>
  <si>
    <t>Adji-boto</t>
  </si>
  <si>
    <t>Adji_Kui_I</t>
  </si>
  <si>
    <t>Adji_Kui_II</t>
  </si>
  <si>
    <t>Al-manqala</t>
  </si>
  <si>
    <t>Alemungula</t>
  </si>
  <si>
    <t>Ali_Guli_Mane</t>
  </si>
  <si>
    <t>Andada</t>
  </si>
  <si>
    <t>Andot</t>
  </si>
  <si>
    <t>Anywoli</t>
  </si>
  <si>
    <t>Ayo</t>
  </si>
  <si>
    <t>Ayoayo</t>
  </si>
  <si>
    <t>Azigo</t>
  </si>
  <si>
    <t>Ba-awa</t>
  </si>
  <si>
    <t>Bakuk</t>
  </si>
  <si>
    <t>Bao</t>
  </si>
  <si>
    <t>Bay_Khom</t>
  </si>
  <si>
    <t>Bechi</t>
  </si>
  <si>
    <t>Bohnenspiel</t>
  </si>
  <si>
    <t>Boola</t>
  </si>
  <si>
    <t>Bosh</t>
  </si>
  <si>
    <t>Bule_Perga</t>
  </si>
  <si>
    <t>Centering</t>
  </si>
  <si>
    <t>Cow</t>
  </si>
  <si>
    <t>Cross-Kalah</t>
  </si>
  <si>
    <t>Cross-Wari</t>
  </si>
  <si>
    <t>CrossCapt</t>
  </si>
  <si>
    <t>CrossCapt_Eight</t>
  </si>
  <si>
    <t>CrossCapt_Nine</t>
  </si>
  <si>
    <t>CrossCapt_Seven</t>
  </si>
  <si>
    <t>CrossCapt_Six</t>
  </si>
  <si>
    <t>Dabuda</t>
  </si>
  <si>
    <t>Dakon</t>
  </si>
  <si>
    <t>Deka</t>
  </si>
  <si>
    <t>Depouiller</t>
  </si>
  <si>
    <t>Diffusion</t>
  </si>
  <si>
    <t>Djenon_Abe</t>
  </si>
  <si>
    <t>Djenon_Aboure</t>
  </si>
  <si>
    <t>Embeli</t>
  </si>
  <si>
    <t>Endodoi</t>
  </si>
  <si>
    <t>Enkeshui</t>
  </si>
  <si>
    <t>Enlightenment</t>
  </si>
  <si>
    <t>Erherhe</t>
  </si>
  <si>
    <t>Eson_Xorgol</t>
  </si>
  <si>
    <t>Four-Capture</t>
  </si>
  <si>
    <t>Gabata</t>
  </si>
  <si>
    <t>Gamacha</t>
  </si>
  <si>
    <t>Gelech</t>
  </si>
  <si>
    <t>Giuthi</t>
  </si>
  <si>
    <t>Goat</t>
  </si>
  <si>
    <t>GoEmpty_One</t>
  </si>
  <si>
    <t>GoEmpty_Two</t>
  </si>
  <si>
    <t>Halusa</t>
  </si>
  <si>
    <t>Hoyito_I</t>
  </si>
  <si>
    <t>Hoyito_II</t>
  </si>
  <si>
    <t>Hufesay</t>
  </si>
  <si>
    <t>Huroy</t>
  </si>
  <si>
    <t>Je_ki_n_je</t>
  </si>
  <si>
    <t>Jongkak</t>
  </si>
  <si>
    <t>J_Odu</t>
  </si>
  <si>
    <t>Kalah</t>
  </si>
  <si>
    <t>Kale</t>
  </si>
  <si>
    <t>Kara</t>
  </si>
  <si>
    <t>Krur</t>
  </si>
  <si>
    <t>Lagerung</t>
  </si>
  <si>
    <t>Lahemay_Waladat</t>
  </si>
  <si>
    <t>Lami</t>
  </si>
  <si>
    <t>Lamlameta</t>
  </si>
  <si>
    <t>Lam_Waladach</t>
  </si>
  <si>
    <t>Leab_El-akil</t>
  </si>
  <si>
    <t>Leb_Bbut_Ahbochen</t>
  </si>
  <si>
    <t>Leyla-Gobale</t>
  </si>
  <si>
    <t>Longbeu-a-cha</t>
  </si>
  <si>
    <t>long_night_game</t>
  </si>
  <si>
    <t>Mandoli</t>
  </si>
  <si>
    <t>Mangala_I</t>
  </si>
  <si>
    <t>Mangala_II</t>
  </si>
  <si>
    <t>Mangala_III</t>
  </si>
  <si>
    <t>Mangala_IV</t>
  </si>
  <si>
    <t>Mbangbi</t>
  </si>
  <si>
    <t>Mbothe</t>
  </si>
  <si>
    <t>Meusueb</t>
  </si>
  <si>
    <t>Micro-Wari</t>
  </si>
  <si>
    <t>mikro_tsoro</t>
  </si>
  <si>
    <t>Modiar</t>
  </si>
  <si>
    <t>Motiq</t>
  </si>
  <si>
    <t>Nambayi</t>
  </si>
  <si>
    <t>NamNam</t>
  </si>
  <si>
    <t>Ndoto</t>
  </si>
  <si>
    <t>NoCapt</t>
  </si>
  <si>
    <t>NoSides</t>
  </si>
  <si>
    <t>NoSidesChild</t>
  </si>
  <si>
    <t>Nsa_Isong</t>
  </si>
  <si>
    <t>NS_Kalah</t>
  </si>
  <si>
    <t>NumNum</t>
  </si>
  <si>
    <t>Obridjie</t>
  </si>
  <si>
    <t>Ohojichi</t>
  </si>
  <si>
    <t>Ohvulhu</t>
  </si>
  <si>
    <t>Olinda</t>
  </si>
  <si>
    <t>Olowuka</t>
  </si>
  <si>
    <t>OnlyChild</t>
  </si>
  <si>
    <t>Ot-tjin</t>
  </si>
  <si>
    <t>Ouri</t>
  </si>
  <si>
    <t>Oware</t>
  </si>
  <si>
    <t>Pallam_Kuzhi</t>
  </si>
  <si>
    <t>Pallanguli</t>
  </si>
  <si>
    <t>Pandi</t>
  </si>
  <si>
    <t>Qelat</t>
  </si>
  <si>
    <t>Qelat_II</t>
  </si>
  <si>
    <t>Raja_Pasu</t>
  </si>
  <si>
    <t>Random-Kalah</t>
  </si>
  <si>
    <t>Rath</t>
  </si>
  <si>
    <t>Rio_Kadalis</t>
  </si>
  <si>
    <t>Sadeqa</t>
  </si>
  <si>
    <t>Sadeqa_II</t>
  </si>
  <si>
    <t>Sadeqa_III</t>
  </si>
  <si>
    <t>Sadeqa_IV</t>
  </si>
  <si>
    <t>SameSide</t>
  </si>
  <si>
    <t>San_Yao</t>
  </si>
  <si>
    <t>SimpleCapt</t>
  </si>
  <si>
    <t>SimpleCapt_PCapt</t>
  </si>
  <si>
    <t>Sokusowo</t>
  </si>
  <si>
    <t>Songo</t>
  </si>
  <si>
    <t>SowOpDirs</t>
  </si>
  <si>
    <t>Tap-Urdy</t>
  </si>
  <si>
    <t>Tapata</t>
  </si>
  <si>
    <t>Tchuka_Ruma</t>
  </si>
  <si>
    <t>Tegre</t>
  </si>
  <si>
    <t>Tihbat</t>
  </si>
  <si>
    <t>Toguz_Kumalak</t>
  </si>
  <si>
    <t>Toguz_Xorgol</t>
  </si>
  <si>
    <t>Urim</t>
  </si>
  <si>
    <t>Vai_Lun_Thlan</t>
  </si>
  <si>
    <t>Valah</t>
  </si>
  <si>
    <t>Voleur</t>
  </si>
  <si>
    <t>Wari</t>
  </si>
  <si>
    <t>Waurie</t>
  </si>
  <si>
    <t>Weg</t>
  </si>
  <si>
    <t>ZigZag</t>
  </si>
  <si>
    <t>Pend Exper</t>
  </si>
  <si>
    <t>end</t>
  </si>
  <si>
    <t>Total Games</t>
  </si>
  <si>
    <t>Notes</t>
  </si>
  <si>
    <t>AI Players</t>
  </si>
  <si>
    <t>endless</t>
  </si>
  <si>
    <t>no endless</t>
  </si>
  <si>
    <t>No Endless</t>
  </si>
  <si>
    <t>20K</t>
  </si>
  <si>
    <t>note added about variations that are fair</t>
  </si>
  <si>
    <t>Max Moves</t>
  </si>
  <si>
    <t>Special Test</t>
  </si>
  <si>
    <t>Bad Outcome</t>
  </si>
  <si>
    <t>random play doesn't work, too many moves</t>
  </si>
  <si>
    <t>note added about variation that is fair</t>
  </si>
  <si>
    <t>Game</t>
  </si>
  <si>
    <t>Fewer Bad</t>
  </si>
  <si>
    <t>p-val issue</t>
  </si>
  <si>
    <t>Force
End</t>
  </si>
  <si>
    <t>note added about ways add capture last 4/8 seeds</t>
  </si>
  <si>
    <t>20k</t>
  </si>
  <si>
    <t>Filter</t>
  </si>
  <si>
    <t>x</t>
  </si>
  <si>
    <t>bug found and fixed (fill order must be dep. on loser)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</si>
</sst>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0" fontId="0" fillId="0" borderId="0" xfId="2" applyNumberFormat="1" applyFont="1"/>
    <xf numFmtId="0" fontId="0" fillId="0" borderId="0" xfId="0" applyAlignment="1">
      <alignment horizontal="left" vertical="top" wrapText="1"/>
    </xf>
    <xf numFmtId="164" fontId="0" fillId="0" borderId="0" xfId="1" applyNumberFormat="1" applyFont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5" borderId="0" xfId="0" applyFill="1"/>
    <xf numFmtId="0" fontId="0" fillId="34" borderId="0" xfId="0" applyFill="1"/>
    <xf numFmtId="0" fontId="0" fillId="0" borderId="0" xfId="0" applyAlignment="1">
      <alignment horizontal="center" vertical="top" wrapText="1"/>
    </xf>
    <xf numFmtId="0" fontId="0" fillId="36" borderId="0" xfId="0" applyFill="1"/>
    <xf numFmtId="0" fontId="7" fillId="3" borderId="0" xfId="9"/>
    <xf numFmtId="0" fontId="0" fillId="0" borderId="0" xfId="0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143D-0630-44D1-88D2-0F6770CCC143}">
  <sheetPr filterMode="1"/>
  <dimension ref="A1:AI142"/>
  <sheetViews>
    <sheetView tabSelected="1" zoomScale="70" zoomScaleNormal="7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C147" sqref="C147"/>
    </sheetView>
  </sheetViews>
  <sheetFormatPr defaultRowHeight="15" x14ac:dyDescent="0.25"/>
  <cols>
    <col min="1" max="1" width="16.42578125" customWidth="1"/>
    <col min="6" max="9" width="10.7109375" customWidth="1"/>
    <col min="19" max="20" width="10.5703125" customWidth="1"/>
    <col min="21" max="21" width="3.28515625" customWidth="1"/>
    <col min="22" max="22" width="11.7109375" customWidth="1"/>
    <col min="23" max="23" width="2.85546875" customWidth="1"/>
    <col min="24" max="24" width="10.5703125" customWidth="1"/>
    <col min="25" max="27" width="8.5703125" style="5" customWidth="1"/>
    <col min="28" max="28" width="8.5703125" customWidth="1"/>
    <col min="29" max="29" width="4" customWidth="1"/>
    <col min="34" max="34" width="47.140625" customWidth="1"/>
    <col min="35" max="35" width="9.140625" style="5"/>
  </cols>
  <sheetData>
    <row r="1" spans="1:35" ht="30" x14ac:dyDescent="0.25">
      <c r="A1" t="s">
        <v>174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164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/>
      <c r="V1" s="2" t="s">
        <v>159</v>
      </c>
      <c r="W1" s="8"/>
      <c r="X1" s="9" t="s">
        <v>161</v>
      </c>
      <c r="Y1" s="7" t="s">
        <v>169</v>
      </c>
      <c r="Z1" s="7" t="s">
        <v>177</v>
      </c>
      <c r="AA1" s="7" t="s">
        <v>166</v>
      </c>
      <c r="AB1" s="7" t="s">
        <v>163</v>
      </c>
      <c r="AC1" s="2"/>
      <c r="AD1" s="10" t="s">
        <v>170</v>
      </c>
      <c r="AE1" s="10" t="s">
        <v>171</v>
      </c>
      <c r="AF1" s="10" t="s">
        <v>175</v>
      </c>
      <c r="AG1" s="10" t="s">
        <v>176</v>
      </c>
      <c r="AH1" s="8" t="s">
        <v>162</v>
      </c>
      <c r="AI1" s="13" t="s">
        <v>180</v>
      </c>
    </row>
    <row r="2" spans="1:35" hidden="1" x14ac:dyDescent="0.25">
      <c r="A2" t="s">
        <v>18</v>
      </c>
      <c r="B2">
        <v>0</v>
      </c>
      <c r="C2">
        <v>0</v>
      </c>
      <c r="D2">
        <v>3056</v>
      </c>
      <c r="E2">
        <v>3284</v>
      </c>
      <c r="F2">
        <v>23784</v>
      </c>
      <c r="G2">
        <v>23091</v>
      </c>
      <c r="H2">
        <v>23160</v>
      </c>
      <c r="I2">
        <v>23625</v>
      </c>
      <c r="J2">
        <v>0</v>
      </c>
      <c r="L2">
        <v>46785</v>
      </c>
      <c r="M2">
        <v>47409</v>
      </c>
      <c r="N2" s="1">
        <v>0.49951953875720689</v>
      </c>
      <c r="O2" s="1">
        <v>0.50618193465727102</v>
      </c>
      <c r="P2" s="1">
        <v>6.3399999999999998E-2</v>
      </c>
      <c r="Q2">
        <v>0.76869680268942386</v>
      </c>
      <c r="R2">
        <v>1.5443404953375059E-4</v>
      </c>
      <c r="S2" t="b">
        <v>1</v>
      </c>
      <c r="T2" t="b">
        <v>0</v>
      </c>
      <c r="V2" s="3"/>
      <c r="X2" s="4">
        <f t="shared" ref="X2:X33" si="0">SUM(B2:I2)</f>
        <v>100000</v>
      </c>
      <c r="AD2" t="b" cm="1">
        <f t="array" ref="AD2">OR(NOT(ISBLANK(Y2:AB2)))</f>
        <v>0</v>
      </c>
      <c r="AE2" t="b">
        <f>OR(NOT(S2),P2&gt;0.1,O2&gt;0.6, O2&lt;0.4,L2&lt;8000,(C2/X2)&gt;0.05, (B2/X2)&gt;0.05)</f>
        <v>0</v>
      </c>
      <c r="AF2" t="b">
        <f>OR(NOT(S2),L2&lt;8000,(C2/X2)&gt;0.05, (B2/X2)&gt;0.05)</f>
        <v>0</v>
      </c>
      <c r="AG2" t="b">
        <f>OR(AND(Q2&lt;=0.15, Q2&gt;0.001), AND(R2&lt;=0.15, R2&gt;0.001))</f>
        <v>0</v>
      </c>
    </row>
    <row r="3" spans="1:35" hidden="1" x14ac:dyDescent="0.25">
      <c r="A3" t="s">
        <v>19</v>
      </c>
      <c r="B3">
        <v>0</v>
      </c>
      <c r="C3">
        <v>75</v>
      </c>
      <c r="D3">
        <v>0</v>
      </c>
      <c r="E3">
        <v>0</v>
      </c>
      <c r="F3">
        <v>4773</v>
      </c>
      <c r="G3">
        <v>5162</v>
      </c>
      <c r="H3">
        <v>5198</v>
      </c>
      <c r="I3">
        <v>4792</v>
      </c>
      <c r="J3">
        <v>75</v>
      </c>
      <c r="L3">
        <v>9990</v>
      </c>
      <c r="M3">
        <v>9565</v>
      </c>
      <c r="N3" s="1">
        <v>0.50138017565871995</v>
      </c>
      <c r="O3" s="1">
        <v>0.480050188205771</v>
      </c>
      <c r="P3" s="1">
        <v>0</v>
      </c>
      <c r="Q3">
        <v>0.69680277632003895</v>
      </c>
      <c r="R3">
        <v>1.78060454362072E-8</v>
      </c>
      <c r="S3" t="b">
        <v>1</v>
      </c>
      <c r="T3" t="b">
        <v>0</v>
      </c>
      <c r="V3" s="3"/>
      <c r="X3" s="4">
        <f t="shared" si="0"/>
        <v>20000</v>
      </c>
      <c r="AD3" t="b" cm="1">
        <f t="array" ref="AD3">OR(NOT(ISBLANK(Y3:AB3)))</f>
        <v>0</v>
      </c>
      <c r="AE3" t="b">
        <f t="shared" ref="AE3:AE66" si="1">OR(NOT(S3),P3&gt;0.1,O3&gt;0.6, O3&lt;0.4,L3&lt;8000,(C3/X3)&gt;0.05, (B3/X3)&gt;0.05)</f>
        <v>0</v>
      </c>
      <c r="AF3" t="b">
        <f t="shared" ref="AF3:AF66" si="2">OR(NOT(S3),L3&lt;8000,(C3/X3)&gt;0.05, (B3/X3)&gt;0.05)</f>
        <v>0</v>
      </c>
      <c r="AG3" t="b">
        <f t="shared" ref="AG3:AG66" si="3">OR(AND(Q3&lt;=0.15, Q3&gt;0.001), AND(R3&lt;=0.15, R3&gt;0.001))</f>
        <v>0</v>
      </c>
    </row>
    <row r="4" spans="1:35" hidden="1" x14ac:dyDescent="0.25">
      <c r="A4" t="s">
        <v>20</v>
      </c>
      <c r="B4">
        <v>0</v>
      </c>
      <c r="C4">
        <v>338</v>
      </c>
      <c r="D4">
        <v>0</v>
      </c>
      <c r="E4">
        <v>0</v>
      </c>
      <c r="F4">
        <v>4618</v>
      </c>
      <c r="G4">
        <v>5247</v>
      </c>
      <c r="H4">
        <v>5217</v>
      </c>
      <c r="I4">
        <v>4580</v>
      </c>
      <c r="J4">
        <v>338</v>
      </c>
      <c r="L4">
        <v>9797</v>
      </c>
      <c r="M4">
        <v>9198</v>
      </c>
      <c r="N4" s="1">
        <v>0.498270776116366</v>
      </c>
      <c r="O4" s="1">
        <v>0.46780592004882499</v>
      </c>
      <c r="P4" s="1">
        <v>0</v>
      </c>
      <c r="Q4">
        <v>0.62771331603200298</v>
      </c>
      <c r="R4">
        <v>1.73900271841974E-19</v>
      </c>
      <c r="S4" t="b">
        <v>1</v>
      </c>
      <c r="T4" t="b">
        <v>0</v>
      </c>
      <c r="V4" s="3"/>
      <c r="X4" s="4">
        <f t="shared" si="0"/>
        <v>20000</v>
      </c>
      <c r="AD4" t="b" cm="1">
        <f t="array" ref="AD4">OR(NOT(ISBLANK(Y4:AB4)))</f>
        <v>0</v>
      </c>
      <c r="AE4" t="b">
        <f t="shared" si="1"/>
        <v>0</v>
      </c>
      <c r="AF4" t="b">
        <f t="shared" si="2"/>
        <v>0</v>
      </c>
      <c r="AG4" t="b">
        <f t="shared" si="3"/>
        <v>0</v>
      </c>
    </row>
    <row r="5" spans="1:35" hidden="1" x14ac:dyDescent="0.25">
      <c r="A5" t="s">
        <v>21</v>
      </c>
      <c r="B5">
        <v>0</v>
      </c>
      <c r="C5">
        <v>0</v>
      </c>
      <c r="D5">
        <v>342</v>
      </c>
      <c r="E5">
        <v>328</v>
      </c>
      <c r="F5">
        <v>4833</v>
      </c>
      <c r="G5">
        <v>4774</v>
      </c>
      <c r="H5">
        <v>4825</v>
      </c>
      <c r="I5">
        <v>4898</v>
      </c>
      <c r="J5">
        <v>0</v>
      </c>
      <c r="L5">
        <v>9723</v>
      </c>
      <c r="M5">
        <v>9731</v>
      </c>
      <c r="N5" s="1">
        <v>0.50300051733057405</v>
      </c>
      <c r="O5" s="1">
        <v>0.50341438178996301</v>
      </c>
      <c r="P5" s="1">
        <v>3.3500000000000002E-2</v>
      </c>
      <c r="Q5">
        <v>0.40409050281302</v>
      </c>
      <c r="R5">
        <v>0.34240745566581998</v>
      </c>
      <c r="S5" t="b">
        <v>1</v>
      </c>
      <c r="T5" t="b">
        <v>1</v>
      </c>
      <c r="V5" s="3"/>
      <c r="X5" s="4">
        <f t="shared" si="0"/>
        <v>20000</v>
      </c>
      <c r="AD5" t="b" cm="1">
        <f t="array" ref="AD5">OR(NOT(ISBLANK(Y5:AB5)))</f>
        <v>0</v>
      </c>
      <c r="AE5" t="b">
        <f t="shared" si="1"/>
        <v>0</v>
      </c>
      <c r="AF5" t="b">
        <f t="shared" si="2"/>
        <v>0</v>
      </c>
      <c r="AG5" t="b">
        <f t="shared" si="3"/>
        <v>0</v>
      </c>
    </row>
    <row r="6" spans="1:35" hidden="1" x14ac:dyDescent="0.25">
      <c r="A6" t="s">
        <v>22</v>
      </c>
      <c r="B6">
        <v>166</v>
      </c>
      <c r="C6">
        <v>0</v>
      </c>
      <c r="D6">
        <v>520</v>
      </c>
      <c r="E6">
        <v>476</v>
      </c>
      <c r="F6">
        <v>4587</v>
      </c>
      <c r="G6">
        <v>4892</v>
      </c>
      <c r="H6">
        <v>4817</v>
      </c>
      <c r="I6">
        <v>4542</v>
      </c>
      <c r="J6">
        <v>166</v>
      </c>
      <c r="L6">
        <v>9359</v>
      </c>
      <c r="M6">
        <v>9129</v>
      </c>
      <c r="N6" s="1">
        <v>0.49681494850833402</v>
      </c>
      <c r="O6" s="1">
        <v>0.48460558445694801</v>
      </c>
      <c r="P6" s="1">
        <v>4.9799999999999997E-2</v>
      </c>
      <c r="Q6">
        <v>0.38195120414978101</v>
      </c>
      <c r="R6">
        <v>2.3807632587810399E-5</v>
      </c>
      <c r="S6" t="b">
        <v>1</v>
      </c>
      <c r="T6" t="b">
        <v>0</v>
      </c>
      <c r="V6" s="3"/>
      <c r="X6" s="4">
        <f t="shared" si="0"/>
        <v>20000</v>
      </c>
      <c r="AD6" t="b" cm="1">
        <f t="array" ref="AD6">OR(NOT(ISBLANK(Y6:AB6)))</f>
        <v>0</v>
      </c>
      <c r="AE6" t="b">
        <f t="shared" si="1"/>
        <v>0</v>
      </c>
      <c r="AF6" t="b">
        <f t="shared" si="2"/>
        <v>0</v>
      </c>
      <c r="AG6" t="b">
        <f t="shared" si="3"/>
        <v>0</v>
      </c>
    </row>
    <row r="7" spans="1:35" x14ac:dyDescent="0.25">
      <c r="A7" s="12" t="s">
        <v>23</v>
      </c>
      <c r="B7">
        <v>1</v>
      </c>
      <c r="C7">
        <v>1799</v>
      </c>
      <c r="D7">
        <v>607</v>
      </c>
      <c r="E7">
        <v>625</v>
      </c>
      <c r="F7">
        <v>23724</v>
      </c>
      <c r="G7">
        <v>23903</v>
      </c>
      <c r="H7">
        <v>24787</v>
      </c>
      <c r="I7">
        <v>24554</v>
      </c>
      <c r="K7">
        <v>1800</v>
      </c>
      <c r="L7">
        <v>49341</v>
      </c>
      <c r="M7">
        <v>48278</v>
      </c>
      <c r="N7" s="1">
        <v>0.50883796716442542</v>
      </c>
      <c r="O7" s="1">
        <v>0.4978755878227869</v>
      </c>
      <c r="P7" s="1">
        <v>1.2319999999999999E-2</v>
      </c>
      <c r="Q7">
        <v>3.7078455008636148E-8</v>
      </c>
      <c r="R7">
        <v>0.18581192312018263</v>
      </c>
      <c r="S7" t="b">
        <v>0</v>
      </c>
      <c r="T7" t="b">
        <v>1</v>
      </c>
      <c r="V7" s="3"/>
      <c r="X7" s="4">
        <f t="shared" si="0"/>
        <v>100000</v>
      </c>
      <c r="AD7" t="b" cm="1">
        <f t="array" ref="AD7">OR(NOT(ISBLANK(Y7:AB7)))</f>
        <v>0</v>
      </c>
      <c r="AE7" t="b">
        <f t="shared" si="1"/>
        <v>1</v>
      </c>
      <c r="AF7" t="b">
        <f>OR(NOT(S7),L7&lt;8000,(C7/X7)&gt;0.05, (B7/X7)&gt;0.05)</f>
        <v>1</v>
      </c>
      <c r="AG7" t="b">
        <f t="shared" si="3"/>
        <v>0</v>
      </c>
      <c r="AH7" t="s">
        <v>173</v>
      </c>
    </row>
    <row r="8" spans="1:35" hidden="1" x14ac:dyDescent="0.25">
      <c r="A8" t="s">
        <v>24</v>
      </c>
      <c r="B8">
        <v>236</v>
      </c>
      <c r="C8">
        <v>0</v>
      </c>
      <c r="D8">
        <v>20</v>
      </c>
      <c r="E8">
        <v>32</v>
      </c>
      <c r="F8">
        <v>4950</v>
      </c>
      <c r="G8">
        <v>4899</v>
      </c>
      <c r="H8">
        <v>4908</v>
      </c>
      <c r="I8">
        <v>4955</v>
      </c>
      <c r="J8">
        <v>236</v>
      </c>
      <c r="L8">
        <v>9863</v>
      </c>
      <c r="M8">
        <v>9905</v>
      </c>
      <c r="N8" s="1">
        <v>0.50035511363636298</v>
      </c>
      <c r="O8" s="1">
        <v>0.50248579545454497</v>
      </c>
      <c r="P8" s="1">
        <v>2.5999999999999999E-3</v>
      </c>
      <c r="Q8">
        <v>0.92057019116036798</v>
      </c>
      <c r="R8">
        <v>0.48517185906672</v>
      </c>
      <c r="S8" t="b">
        <v>1</v>
      </c>
      <c r="T8" t="b">
        <v>1</v>
      </c>
      <c r="V8" s="3"/>
      <c r="X8" s="4">
        <f t="shared" si="0"/>
        <v>20000</v>
      </c>
      <c r="AD8" t="b" cm="1">
        <f t="array" ref="AD8">OR(NOT(ISBLANK(Y8:AB8)))</f>
        <v>0</v>
      </c>
      <c r="AE8" t="b">
        <f t="shared" si="1"/>
        <v>0</v>
      </c>
      <c r="AF8" t="b">
        <f t="shared" si="2"/>
        <v>0</v>
      </c>
      <c r="AG8" t="b">
        <f t="shared" si="3"/>
        <v>0</v>
      </c>
    </row>
    <row r="9" spans="1:35" hidden="1" x14ac:dyDescent="0.25">
      <c r="A9" t="s">
        <v>25</v>
      </c>
      <c r="B9">
        <v>1</v>
      </c>
      <c r="C9">
        <v>0</v>
      </c>
      <c r="D9">
        <v>210</v>
      </c>
      <c r="E9">
        <v>213</v>
      </c>
      <c r="F9">
        <v>4932</v>
      </c>
      <c r="G9">
        <v>4924</v>
      </c>
      <c r="H9">
        <v>4857</v>
      </c>
      <c r="I9">
        <v>4863</v>
      </c>
      <c r="J9">
        <v>1</v>
      </c>
      <c r="L9">
        <v>9720</v>
      </c>
      <c r="M9">
        <v>9795</v>
      </c>
      <c r="N9" s="1">
        <v>0.49652635880670198</v>
      </c>
      <c r="O9" s="1">
        <v>0.50035758071107395</v>
      </c>
      <c r="P9" s="1">
        <v>2.1149999999999999E-2</v>
      </c>
      <c r="Q9">
        <v>0.331038673466301</v>
      </c>
      <c r="R9">
        <v>0.92029567447649496</v>
      </c>
      <c r="S9" t="b">
        <v>1</v>
      </c>
      <c r="T9" t="b">
        <v>1</v>
      </c>
      <c r="V9" s="3"/>
      <c r="X9" s="4">
        <f t="shared" si="0"/>
        <v>20000</v>
      </c>
      <c r="AD9" t="b" cm="1">
        <f t="array" ref="AD9">OR(NOT(ISBLANK(Y9:AB9)))</f>
        <v>0</v>
      </c>
      <c r="AE9" t="b">
        <f t="shared" si="1"/>
        <v>0</v>
      </c>
      <c r="AF9" t="b">
        <f t="shared" si="2"/>
        <v>0</v>
      </c>
      <c r="AG9" t="b">
        <f t="shared" si="3"/>
        <v>0</v>
      </c>
    </row>
    <row r="10" spans="1:35" hidden="1" x14ac:dyDescent="0.25">
      <c r="A10" t="s">
        <v>26</v>
      </c>
      <c r="B10">
        <v>0</v>
      </c>
      <c r="C10">
        <v>0</v>
      </c>
      <c r="D10">
        <v>984</v>
      </c>
      <c r="E10">
        <v>938</v>
      </c>
      <c r="F10">
        <v>14881</v>
      </c>
      <c r="G10">
        <v>14153</v>
      </c>
      <c r="H10">
        <v>14135</v>
      </c>
      <c r="I10">
        <v>14909</v>
      </c>
      <c r="J10">
        <v>0</v>
      </c>
      <c r="K10">
        <v>43</v>
      </c>
      <c r="L10">
        <v>29044</v>
      </c>
      <c r="M10">
        <v>29790</v>
      </c>
      <c r="N10" s="1">
        <v>0.50008609111884017</v>
      </c>
      <c r="O10" s="1">
        <v>0.51293088604979509</v>
      </c>
      <c r="P10" s="1">
        <v>3.203333333333333E-2</v>
      </c>
      <c r="Q10">
        <v>0.96690140034302441</v>
      </c>
      <c r="R10">
        <v>4.5897301484342521E-10</v>
      </c>
      <c r="S10" t="b">
        <v>1</v>
      </c>
      <c r="T10" t="b">
        <v>0</v>
      </c>
      <c r="V10" s="3"/>
      <c r="X10" s="4">
        <f t="shared" si="0"/>
        <v>60000</v>
      </c>
      <c r="Z10" s="5" t="s">
        <v>160</v>
      </c>
      <c r="AD10" t="b" cm="1">
        <f t="array" ref="AD10">OR(NOT(ISBLANK(Y10:AB10)))</f>
        <v>1</v>
      </c>
      <c r="AE10" t="b">
        <f t="shared" si="1"/>
        <v>0</v>
      </c>
      <c r="AF10" t="b">
        <f t="shared" si="2"/>
        <v>0</v>
      </c>
      <c r="AG10" t="b">
        <f t="shared" si="3"/>
        <v>0</v>
      </c>
    </row>
    <row r="11" spans="1:35" hidden="1" x14ac:dyDescent="0.25">
      <c r="A11" t="s">
        <v>27</v>
      </c>
      <c r="B11">
        <v>0</v>
      </c>
      <c r="C11">
        <v>0</v>
      </c>
      <c r="D11">
        <v>0</v>
      </c>
      <c r="E11">
        <v>1</v>
      </c>
      <c r="F11">
        <v>4982</v>
      </c>
      <c r="G11">
        <v>5043</v>
      </c>
      <c r="H11">
        <v>5018</v>
      </c>
      <c r="I11">
        <v>4956</v>
      </c>
      <c r="J11">
        <v>0</v>
      </c>
      <c r="L11">
        <v>9974</v>
      </c>
      <c r="M11">
        <v>9938</v>
      </c>
      <c r="N11" s="1">
        <v>0.49872493624681202</v>
      </c>
      <c r="O11" s="1">
        <v>0.49692484624231198</v>
      </c>
      <c r="P11" s="1">
        <v>5.0000000000000002E-5</v>
      </c>
      <c r="Q11">
        <v>0.71837346204941999</v>
      </c>
      <c r="R11">
        <v>0.38442988884493801</v>
      </c>
      <c r="S11" t="b">
        <v>1</v>
      </c>
      <c r="T11" t="b">
        <v>1</v>
      </c>
      <c r="V11" s="3"/>
      <c r="X11" s="4">
        <f t="shared" si="0"/>
        <v>20000</v>
      </c>
      <c r="AD11" t="b" cm="1">
        <f t="array" ref="AD11">OR(NOT(ISBLANK(Y11:AB11)))</f>
        <v>0</v>
      </c>
      <c r="AE11" t="b">
        <f t="shared" si="1"/>
        <v>0</v>
      </c>
      <c r="AF11" t="b">
        <f t="shared" si="2"/>
        <v>0</v>
      </c>
      <c r="AG11" t="b">
        <f t="shared" si="3"/>
        <v>0</v>
      </c>
    </row>
    <row r="12" spans="1:35" hidden="1" x14ac:dyDescent="0.25">
      <c r="A12" t="s">
        <v>28</v>
      </c>
      <c r="B12">
        <v>288</v>
      </c>
      <c r="C12">
        <v>31</v>
      </c>
      <c r="D12">
        <v>126</v>
      </c>
      <c r="E12">
        <v>132</v>
      </c>
      <c r="F12">
        <v>4779</v>
      </c>
      <c r="G12">
        <v>4867</v>
      </c>
      <c r="H12">
        <v>4942</v>
      </c>
      <c r="I12">
        <v>4835</v>
      </c>
      <c r="J12">
        <v>319</v>
      </c>
      <c r="L12">
        <v>9777</v>
      </c>
      <c r="M12">
        <v>9614</v>
      </c>
      <c r="N12" s="1">
        <v>0.503372290583329</v>
      </c>
      <c r="O12" s="1">
        <v>0.49498017813931899</v>
      </c>
      <c r="P12" s="1">
        <v>1.29E-2</v>
      </c>
      <c r="Q12">
        <v>0.34723389546438999</v>
      </c>
      <c r="R12">
        <v>0.161756242754792</v>
      </c>
      <c r="S12" t="b">
        <v>1</v>
      </c>
      <c r="T12" t="b">
        <v>1</v>
      </c>
      <c r="V12" s="3"/>
      <c r="X12" s="4">
        <f t="shared" si="0"/>
        <v>20000</v>
      </c>
      <c r="AD12" t="b" cm="1">
        <f t="array" ref="AD12">OR(NOT(ISBLANK(Y12:AB12)))</f>
        <v>0</v>
      </c>
      <c r="AE12" t="b">
        <f t="shared" si="1"/>
        <v>0</v>
      </c>
      <c r="AF12" t="b">
        <f t="shared" si="2"/>
        <v>0</v>
      </c>
      <c r="AG12" t="b">
        <f t="shared" si="3"/>
        <v>0</v>
      </c>
    </row>
    <row r="13" spans="1:35" hidden="1" x14ac:dyDescent="0.25">
      <c r="A13" t="s">
        <v>29</v>
      </c>
      <c r="B13">
        <v>0</v>
      </c>
      <c r="C13">
        <v>15</v>
      </c>
      <c r="D13">
        <v>5376</v>
      </c>
      <c r="E13">
        <v>5426</v>
      </c>
      <c r="F13">
        <v>12590</v>
      </c>
      <c r="G13">
        <v>11945</v>
      </c>
      <c r="H13">
        <v>12027</v>
      </c>
      <c r="I13">
        <v>12621</v>
      </c>
      <c r="J13">
        <v>15</v>
      </c>
      <c r="K13">
        <v>0</v>
      </c>
      <c r="L13">
        <v>24648</v>
      </c>
      <c r="M13">
        <v>25211</v>
      </c>
      <c r="N13" s="1">
        <v>0.50114877091678023</v>
      </c>
      <c r="O13" s="1">
        <v>0.5125958156273509</v>
      </c>
      <c r="P13" s="1">
        <v>0.18003333333333332</v>
      </c>
      <c r="Q13">
        <v>0.6103798085870793</v>
      </c>
      <c r="R13">
        <v>2.3128028799448072E-8</v>
      </c>
      <c r="S13" t="b">
        <v>1</v>
      </c>
      <c r="T13" t="b">
        <v>0</v>
      </c>
      <c r="V13" s="3"/>
      <c r="X13" s="4">
        <f t="shared" si="0"/>
        <v>60000</v>
      </c>
      <c r="Y13" s="5" t="s">
        <v>167</v>
      </c>
      <c r="AD13" t="b" cm="1">
        <f t="array" ref="AD13">OR(NOT(ISBLANK(Y13:AB13)))</f>
        <v>1</v>
      </c>
      <c r="AE13" t="b">
        <f t="shared" si="1"/>
        <v>1</v>
      </c>
      <c r="AF13" t="b">
        <f t="shared" si="2"/>
        <v>0</v>
      </c>
      <c r="AG13" t="b">
        <f t="shared" si="3"/>
        <v>0</v>
      </c>
    </row>
    <row r="14" spans="1:35" hidden="1" x14ac:dyDescent="0.25">
      <c r="A14" t="s">
        <v>30</v>
      </c>
      <c r="B14">
        <v>0</v>
      </c>
      <c r="C14">
        <v>0</v>
      </c>
      <c r="D14">
        <v>687</v>
      </c>
      <c r="E14">
        <v>735</v>
      </c>
      <c r="F14">
        <v>14415</v>
      </c>
      <c r="G14">
        <v>14897</v>
      </c>
      <c r="H14">
        <v>14898</v>
      </c>
      <c r="I14">
        <v>14368</v>
      </c>
      <c r="J14">
        <v>0</v>
      </c>
      <c r="K14">
        <v>0</v>
      </c>
      <c r="L14">
        <v>29266</v>
      </c>
      <c r="M14">
        <v>28783</v>
      </c>
      <c r="N14" s="1">
        <v>0.49960736112533716</v>
      </c>
      <c r="O14" s="1">
        <v>0.49136194475741746</v>
      </c>
      <c r="P14" s="1">
        <v>2.3699999999999999E-2</v>
      </c>
      <c r="Q14">
        <v>0.84926217001146931</v>
      </c>
      <c r="R14">
        <v>2.8982364019834053E-5</v>
      </c>
      <c r="S14" t="b">
        <v>1</v>
      </c>
      <c r="T14" t="b">
        <v>0</v>
      </c>
      <c r="V14" s="3"/>
      <c r="X14" s="4">
        <f t="shared" si="0"/>
        <v>60000</v>
      </c>
      <c r="Y14" s="5" t="s">
        <v>167</v>
      </c>
      <c r="Z14" s="5" t="s">
        <v>160</v>
      </c>
      <c r="AD14" t="b" cm="1">
        <f t="array" ref="AD14">OR(NOT(ISBLANK(Y14:AB14)))</f>
        <v>1</v>
      </c>
      <c r="AE14" t="b">
        <f t="shared" si="1"/>
        <v>0</v>
      </c>
      <c r="AF14" t="b">
        <f t="shared" si="2"/>
        <v>0</v>
      </c>
      <c r="AG14" t="b">
        <f t="shared" si="3"/>
        <v>0</v>
      </c>
    </row>
    <row r="15" spans="1:35" hidden="1" x14ac:dyDescent="0.25">
      <c r="A15" t="s">
        <v>31</v>
      </c>
      <c r="B15">
        <v>0</v>
      </c>
      <c r="C15">
        <v>0</v>
      </c>
      <c r="D15">
        <v>553</v>
      </c>
      <c r="E15">
        <v>587</v>
      </c>
      <c r="F15">
        <v>4953</v>
      </c>
      <c r="G15">
        <v>4428</v>
      </c>
      <c r="H15">
        <v>4494</v>
      </c>
      <c r="I15">
        <v>4985</v>
      </c>
      <c r="J15">
        <v>0</v>
      </c>
      <c r="L15">
        <v>9479</v>
      </c>
      <c r="M15">
        <v>9938</v>
      </c>
      <c r="N15" s="1">
        <v>0.50259809119830301</v>
      </c>
      <c r="O15" s="1">
        <v>0.52693531283138895</v>
      </c>
      <c r="P15" s="1">
        <v>5.7000000000000002E-2</v>
      </c>
      <c r="Q15">
        <v>0.47547416106974</v>
      </c>
      <c r="R15">
        <v>1.3809957241669101E-13</v>
      </c>
      <c r="S15" t="b">
        <v>1</v>
      </c>
      <c r="T15" t="b">
        <v>0</v>
      </c>
      <c r="V15" s="3"/>
      <c r="X15" s="4">
        <f t="shared" si="0"/>
        <v>20000</v>
      </c>
      <c r="AD15" t="b" cm="1">
        <f t="array" ref="AD15">OR(NOT(ISBLANK(Y15:AB15)))</f>
        <v>0</v>
      </c>
      <c r="AE15" t="b">
        <f t="shared" si="1"/>
        <v>0</v>
      </c>
      <c r="AF15" t="b">
        <f t="shared" si="2"/>
        <v>0</v>
      </c>
      <c r="AG15" t="b">
        <f t="shared" si="3"/>
        <v>0</v>
      </c>
    </row>
    <row r="16" spans="1:35" x14ac:dyDescent="0.25">
      <c r="A16" s="6" t="s">
        <v>32</v>
      </c>
      <c r="B16">
        <v>0</v>
      </c>
      <c r="C16">
        <v>39679</v>
      </c>
      <c r="D16">
        <v>0</v>
      </c>
      <c r="E16">
        <v>0</v>
      </c>
      <c r="F16">
        <v>35</v>
      </c>
      <c r="G16">
        <v>43</v>
      </c>
      <c r="H16">
        <v>108</v>
      </c>
      <c r="I16">
        <v>135</v>
      </c>
      <c r="J16">
        <v>39679</v>
      </c>
      <c r="K16">
        <v>0</v>
      </c>
      <c r="L16">
        <v>243</v>
      </c>
      <c r="M16">
        <v>170</v>
      </c>
      <c r="N16" s="1">
        <v>0.75700934579439205</v>
      </c>
      <c r="O16" s="1">
        <v>0.52959501557632305</v>
      </c>
      <c r="P16" s="1">
        <v>0</v>
      </c>
      <c r="Q16">
        <v>3.2794698491197902E-20</v>
      </c>
      <c r="R16">
        <v>0.28892783588397902</v>
      </c>
      <c r="S16" t="b">
        <v>0</v>
      </c>
      <c r="T16" t="b">
        <v>1</v>
      </c>
      <c r="V16" s="3"/>
      <c r="X16" s="4">
        <f t="shared" si="0"/>
        <v>40000</v>
      </c>
      <c r="AD16" t="b" cm="1">
        <f t="array" ref="AD16">OR(NOT(ISBLANK(Y16:AB16)))</f>
        <v>0</v>
      </c>
      <c r="AE16" t="b">
        <f t="shared" si="1"/>
        <v>1</v>
      </c>
      <c r="AF16" t="b">
        <f t="shared" si="2"/>
        <v>1</v>
      </c>
      <c r="AG16" t="b">
        <f t="shared" si="3"/>
        <v>0</v>
      </c>
      <c r="AH16" t="s">
        <v>172</v>
      </c>
    </row>
    <row r="17" spans="1:34" hidden="1" x14ac:dyDescent="0.25">
      <c r="A17" t="s">
        <v>33</v>
      </c>
      <c r="B17">
        <v>0</v>
      </c>
      <c r="C17">
        <v>179</v>
      </c>
      <c r="D17">
        <v>0</v>
      </c>
      <c r="E17">
        <v>0</v>
      </c>
      <c r="F17">
        <v>15311</v>
      </c>
      <c r="G17">
        <v>14519</v>
      </c>
      <c r="H17">
        <v>14591</v>
      </c>
      <c r="I17">
        <v>15400</v>
      </c>
      <c r="K17">
        <v>179</v>
      </c>
      <c r="L17">
        <v>29991</v>
      </c>
      <c r="M17">
        <v>30711</v>
      </c>
      <c r="N17" s="1">
        <v>0.50134568128249279</v>
      </c>
      <c r="O17" s="1">
        <v>0.51338158840540948</v>
      </c>
      <c r="P17" s="1">
        <v>0</v>
      </c>
      <c r="Q17">
        <v>0.51036954127817569</v>
      </c>
      <c r="R17">
        <v>5.9167194259855839E-11</v>
      </c>
      <c r="S17" t="b">
        <v>1</v>
      </c>
      <c r="T17" t="b">
        <v>0</v>
      </c>
      <c r="V17" s="3"/>
      <c r="X17" s="4">
        <f t="shared" si="0"/>
        <v>60000</v>
      </c>
      <c r="AD17" t="b" cm="1">
        <f t="array" ref="AD17">OR(NOT(ISBLANK(Y17:AB17)))</f>
        <v>0</v>
      </c>
      <c r="AE17" t="b">
        <f t="shared" si="1"/>
        <v>0</v>
      </c>
      <c r="AF17" t="b">
        <f t="shared" si="2"/>
        <v>0</v>
      </c>
      <c r="AG17" t="b">
        <f t="shared" si="3"/>
        <v>0</v>
      </c>
    </row>
    <row r="18" spans="1:34" hidden="1" x14ac:dyDescent="0.25">
      <c r="A18" t="s">
        <v>34</v>
      </c>
      <c r="B18">
        <v>2389</v>
      </c>
      <c r="C18">
        <v>0</v>
      </c>
      <c r="D18">
        <v>6480</v>
      </c>
      <c r="E18">
        <v>6356</v>
      </c>
      <c r="F18">
        <v>46859</v>
      </c>
      <c r="G18">
        <v>45660</v>
      </c>
      <c r="H18">
        <v>45490</v>
      </c>
      <c r="I18">
        <v>46766</v>
      </c>
      <c r="J18">
        <v>2389</v>
      </c>
      <c r="K18">
        <v>0</v>
      </c>
      <c r="L18">
        <v>92256</v>
      </c>
      <c r="M18">
        <v>93625</v>
      </c>
      <c r="N18" s="1">
        <v>0.49928832363685499</v>
      </c>
      <c r="O18" s="1">
        <v>0.50669733459612998</v>
      </c>
      <c r="P18" s="1">
        <v>6.4180000000000001E-2</v>
      </c>
      <c r="Q18">
        <v>0.54064709277103995</v>
      </c>
      <c r="R18">
        <v>8.5237158862383495E-9</v>
      </c>
      <c r="S18" t="b">
        <v>1</v>
      </c>
      <c r="T18" t="b">
        <v>0</v>
      </c>
      <c r="V18" s="3"/>
      <c r="X18" s="4">
        <f t="shared" si="0"/>
        <v>200000</v>
      </c>
      <c r="AD18" t="b" cm="1">
        <f t="array" ref="AD18">OR(NOT(ISBLANK(Y18:AB18)))</f>
        <v>0</v>
      </c>
      <c r="AE18" t="b">
        <f>OR(NOT(S18),P18&gt;0.1,O18&gt;0.6, O18&lt;0.4,L18&lt;8000,(C18/X18)&gt;0.05, (B18/X18)&gt;0.05)</f>
        <v>0</v>
      </c>
      <c r="AF18" t="b">
        <f t="shared" si="2"/>
        <v>0</v>
      </c>
      <c r="AG18" t="b">
        <f t="shared" si="3"/>
        <v>0</v>
      </c>
    </row>
    <row r="19" spans="1:34" hidden="1" x14ac:dyDescent="0.25">
      <c r="A19" t="s">
        <v>35</v>
      </c>
      <c r="B19">
        <v>283</v>
      </c>
      <c r="C19">
        <v>2</v>
      </c>
      <c r="D19">
        <v>10</v>
      </c>
      <c r="E19">
        <v>12</v>
      </c>
      <c r="F19">
        <v>21497</v>
      </c>
      <c r="G19">
        <v>28289</v>
      </c>
      <c r="H19">
        <v>28352</v>
      </c>
      <c r="I19">
        <v>21555</v>
      </c>
      <c r="J19">
        <v>285</v>
      </c>
      <c r="K19" s="15">
        <v>22938</v>
      </c>
      <c r="L19">
        <v>49907</v>
      </c>
      <c r="M19">
        <v>43052</v>
      </c>
      <c r="N19" s="1">
        <v>0.50060686306962376</v>
      </c>
      <c r="O19" s="1">
        <v>0.4318457665031647</v>
      </c>
      <c r="P19" s="1">
        <v>2.2000000000000001E-4</v>
      </c>
      <c r="Q19">
        <v>0.70155346326168655</v>
      </c>
      <c r="R19">
        <v>0</v>
      </c>
      <c r="S19" t="b">
        <v>1</v>
      </c>
      <c r="T19" t="b">
        <v>0</v>
      </c>
      <c r="V19" s="3"/>
      <c r="X19" s="4">
        <f t="shared" si="0"/>
        <v>100000</v>
      </c>
      <c r="AD19" t="b" cm="1">
        <f t="array" ref="AD19">OR(NOT(ISBLANK(Y19:AB19)))</f>
        <v>0</v>
      </c>
      <c r="AE19" t="b">
        <f t="shared" si="1"/>
        <v>0</v>
      </c>
      <c r="AF19" t="b">
        <f t="shared" si="2"/>
        <v>0</v>
      </c>
      <c r="AG19" t="b">
        <f t="shared" si="3"/>
        <v>0</v>
      </c>
      <c r="AH19" t="s">
        <v>182</v>
      </c>
    </row>
    <row r="20" spans="1:34" hidden="1" x14ac:dyDescent="0.25">
      <c r="A20" t="s">
        <v>36</v>
      </c>
      <c r="B20">
        <v>2</v>
      </c>
      <c r="C20">
        <v>0</v>
      </c>
      <c r="D20">
        <v>514</v>
      </c>
      <c r="E20">
        <v>551</v>
      </c>
      <c r="F20">
        <v>5407</v>
      </c>
      <c r="G20">
        <v>4073</v>
      </c>
      <c r="H20">
        <v>4078</v>
      </c>
      <c r="I20">
        <v>5375</v>
      </c>
      <c r="J20">
        <v>2</v>
      </c>
      <c r="L20">
        <v>9453</v>
      </c>
      <c r="M20">
        <v>10782</v>
      </c>
      <c r="N20" s="1">
        <v>0.49928695927745198</v>
      </c>
      <c r="O20" s="1">
        <v>0.56948185707494803</v>
      </c>
      <c r="P20" s="1">
        <v>5.3249999999999999E-2</v>
      </c>
      <c r="Q20">
        <v>0.84443416416793804</v>
      </c>
      <c r="R20">
        <v>1.68763833386236E-81</v>
      </c>
      <c r="S20" t="b">
        <v>1</v>
      </c>
      <c r="T20" t="b">
        <v>0</v>
      </c>
      <c r="V20" s="3"/>
      <c r="X20" s="4">
        <f t="shared" si="0"/>
        <v>20000</v>
      </c>
      <c r="AD20" t="b" cm="1">
        <f t="array" ref="AD20">OR(NOT(ISBLANK(Y20:AB20)))</f>
        <v>0</v>
      </c>
      <c r="AE20" t="b">
        <f t="shared" si="1"/>
        <v>0</v>
      </c>
      <c r="AF20" t="b">
        <f t="shared" si="2"/>
        <v>0</v>
      </c>
      <c r="AG20" t="b">
        <f t="shared" si="3"/>
        <v>0</v>
      </c>
    </row>
    <row r="21" spans="1:34" hidden="1" x14ac:dyDescent="0.25">
      <c r="A21" t="s">
        <v>37</v>
      </c>
      <c r="B21">
        <v>0</v>
      </c>
      <c r="C21">
        <v>1897</v>
      </c>
      <c r="D21">
        <v>0</v>
      </c>
      <c r="E21">
        <v>0</v>
      </c>
      <c r="F21">
        <v>14285</v>
      </c>
      <c r="G21">
        <v>14745</v>
      </c>
      <c r="H21">
        <v>14770</v>
      </c>
      <c r="I21">
        <v>14303</v>
      </c>
      <c r="L21">
        <v>29073</v>
      </c>
      <c r="M21">
        <v>28588</v>
      </c>
      <c r="N21" s="1">
        <v>0.50037003252844092</v>
      </c>
      <c r="O21" s="1">
        <v>0.49202278711942582</v>
      </c>
      <c r="P21" s="1">
        <v>0</v>
      </c>
      <c r="Q21">
        <v>0.85841713063536262</v>
      </c>
      <c r="R21">
        <v>1.201868281475025E-4</v>
      </c>
      <c r="S21" t="b">
        <v>1</v>
      </c>
      <c r="T21" t="b">
        <v>0</v>
      </c>
      <c r="V21" s="3"/>
      <c r="X21" s="4">
        <f t="shared" si="0"/>
        <v>60000</v>
      </c>
      <c r="AD21" t="b" cm="1">
        <f t="array" ref="AD21">OR(NOT(ISBLANK(Y21:AB21)))</f>
        <v>0</v>
      </c>
      <c r="AE21" t="b">
        <f t="shared" si="1"/>
        <v>0</v>
      </c>
      <c r="AF21" t="b">
        <f t="shared" si="2"/>
        <v>0</v>
      </c>
      <c r="AG21" t="b">
        <f t="shared" si="3"/>
        <v>0</v>
      </c>
    </row>
    <row r="22" spans="1:34" hidden="1" x14ac:dyDescent="0.25">
      <c r="A22" t="s">
        <v>38</v>
      </c>
      <c r="B22">
        <v>560</v>
      </c>
      <c r="C22">
        <v>0</v>
      </c>
      <c r="D22">
        <v>4060</v>
      </c>
      <c r="E22">
        <v>4150</v>
      </c>
      <c r="F22">
        <v>23092</v>
      </c>
      <c r="G22">
        <v>22618</v>
      </c>
      <c r="H22">
        <v>22561</v>
      </c>
      <c r="I22">
        <v>22959</v>
      </c>
      <c r="L22">
        <v>45520</v>
      </c>
      <c r="M22">
        <v>46051</v>
      </c>
      <c r="N22" s="1">
        <v>0.4989586758741642</v>
      </c>
      <c r="O22" s="1">
        <v>0.50477912967225691</v>
      </c>
      <c r="P22" s="1">
        <v>8.2100000000000006E-2</v>
      </c>
      <c r="Q22">
        <v>0.52931670512606099</v>
      </c>
      <c r="R22">
        <v>3.8892713389689611E-3</v>
      </c>
      <c r="S22" t="b">
        <v>1</v>
      </c>
      <c r="T22" t="b">
        <v>0</v>
      </c>
      <c r="V22" s="3"/>
      <c r="X22" s="4">
        <f t="shared" si="0"/>
        <v>100000</v>
      </c>
      <c r="AD22" t="b" cm="1">
        <f t="array" ref="AD22">OR(NOT(ISBLANK(Y22:AB22)))</f>
        <v>0</v>
      </c>
      <c r="AE22" t="b">
        <f t="shared" si="1"/>
        <v>0</v>
      </c>
      <c r="AF22" t="b">
        <f t="shared" si="2"/>
        <v>0</v>
      </c>
      <c r="AG22" t="b">
        <f>OR(AND(Q22&lt;=0.15, Q22&gt;0.001), AND(R22&lt;=0.15, R22&gt;0.001))</f>
        <v>1</v>
      </c>
    </row>
    <row r="23" spans="1:34" hidden="1" x14ac:dyDescent="0.25">
      <c r="A23" t="s">
        <v>39</v>
      </c>
      <c r="B23">
        <v>0</v>
      </c>
      <c r="C23">
        <v>0</v>
      </c>
      <c r="D23">
        <v>0</v>
      </c>
      <c r="E23">
        <v>4</v>
      </c>
      <c r="F23">
        <v>25490</v>
      </c>
      <c r="G23">
        <v>24525</v>
      </c>
      <c r="H23">
        <v>24510</v>
      </c>
      <c r="I23">
        <v>25471</v>
      </c>
      <c r="J23">
        <v>0</v>
      </c>
      <c r="K23">
        <v>2</v>
      </c>
      <c r="L23">
        <v>49981</v>
      </c>
      <c r="M23">
        <v>50961</v>
      </c>
      <c r="N23" s="1">
        <v>0.49982999319972798</v>
      </c>
      <c r="O23" s="1">
        <v>0.5096303852154086</v>
      </c>
      <c r="P23" s="1">
        <v>4.0000000000000003E-5</v>
      </c>
      <c r="Q23">
        <v>0.914376784154593</v>
      </c>
      <c r="R23">
        <v>1.1244010474630665E-9</v>
      </c>
      <c r="S23" t="b">
        <v>1</v>
      </c>
      <c r="T23" t="b">
        <v>0</v>
      </c>
      <c r="V23" s="3"/>
      <c r="X23" s="4">
        <f t="shared" si="0"/>
        <v>100000</v>
      </c>
      <c r="AD23" t="b" cm="1">
        <f t="array" ref="AD23">OR(NOT(ISBLANK(Y23:AB23)))</f>
        <v>0</v>
      </c>
      <c r="AE23" t="b">
        <f t="shared" si="1"/>
        <v>0</v>
      </c>
      <c r="AF23" t="b">
        <f t="shared" si="2"/>
        <v>0</v>
      </c>
      <c r="AG23" t="b">
        <f t="shared" si="3"/>
        <v>0</v>
      </c>
    </row>
    <row r="24" spans="1:34" hidden="1" x14ac:dyDescent="0.25">
      <c r="A24" t="s">
        <v>40</v>
      </c>
      <c r="B24">
        <v>0</v>
      </c>
      <c r="C24">
        <v>0</v>
      </c>
      <c r="D24">
        <v>141</v>
      </c>
      <c r="E24">
        <v>142</v>
      </c>
      <c r="F24">
        <v>10445</v>
      </c>
      <c r="G24">
        <v>9367</v>
      </c>
      <c r="H24">
        <v>9414</v>
      </c>
      <c r="I24">
        <v>10491</v>
      </c>
      <c r="J24">
        <v>0</v>
      </c>
      <c r="K24">
        <v>5</v>
      </c>
      <c r="L24">
        <v>19905</v>
      </c>
      <c r="M24">
        <v>20936</v>
      </c>
      <c r="N24" s="1">
        <v>0.50117078329178899</v>
      </c>
      <c r="O24" s="1">
        <v>0.52712944079361401</v>
      </c>
      <c r="P24" s="1">
        <v>7.0749999999999997E-3</v>
      </c>
      <c r="Q24">
        <v>0.64074764765923897</v>
      </c>
      <c r="R24">
        <v>2.9769694979212301E-27</v>
      </c>
      <c r="S24" t="b">
        <v>1</v>
      </c>
      <c r="T24" t="b">
        <v>0</v>
      </c>
      <c r="V24" s="3"/>
      <c r="X24" s="4">
        <f t="shared" si="0"/>
        <v>40000</v>
      </c>
      <c r="Z24" s="5" t="s">
        <v>160</v>
      </c>
      <c r="AD24" t="b" cm="1">
        <f t="array" ref="AD24">OR(NOT(ISBLANK(Y24:AB24)))</f>
        <v>1</v>
      </c>
      <c r="AE24" t="b">
        <f t="shared" si="1"/>
        <v>0</v>
      </c>
      <c r="AF24" t="b">
        <f t="shared" si="2"/>
        <v>0</v>
      </c>
      <c r="AG24" t="b">
        <f t="shared" si="3"/>
        <v>0</v>
      </c>
    </row>
    <row r="25" spans="1:34" x14ac:dyDescent="0.25">
      <c r="A25" s="14" t="s">
        <v>41</v>
      </c>
      <c r="B25">
        <v>386</v>
      </c>
      <c r="C25">
        <v>18665</v>
      </c>
      <c r="D25">
        <v>467</v>
      </c>
      <c r="E25">
        <v>431</v>
      </c>
      <c r="F25">
        <v>7663</v>
      </c>
      <c r="G25">
        <v>2280</v>
      </c>
      <c r="H25">
        <v>2264</v>
      </c>
      <c r="I25">
        <v>7844</v>
      </c>
      <c r="J25">
        <v>19051</v>
      </c>
      <c r="K25">
        <v>79</v>
      </c>
      <c r="L25">
        <v>10108</v>
      </c>
      <c r="M25">
        <v>15507</v>
      </c>
      <c r="N25" s="1">
        <v>0.50411450800458801</v>
      </c>
      <c r="O25" s="1">
        <v>0.77337788638970595</v>
      </c>
      <c r="P25" s="1">
        <v>2.2450000000000001E-2</v>
      </c>
      <c r="Q25">
        <v>0.24392127087975299</v>
      </c>
      <c r="R25">
        <v>0</v>
      </c>
      <c r="S25" t="b">
        <v>1</v>
      </c>
      <c r="T25" t="b">
        <v>0</v>
      </c>
      <c r="V25" s="3"/>
      <c r="X25" s="4">
        <f t="shared" si="0"/>
        <v>40000</v>
      </c>
      <c r="Y25" s="5" t="s">
        <v>179</v>
      </c>
      <c r="AD25" t="b" cm="1">
        <f t="array" ref="AD25">OR(NOT(ISBLANK(Y25:AB25)))</f>
        <v>1</v>
      </c>
      <c r="AE25" t="b">
        <f t="shared" si="1"/>
        <v>1</v>
      </c>
      <c r="AF25" t="b">
        <f t="shared" si="2"/>
        <v>1</v>
      </c>
      <c r="AG25" t="b">
        <f t="shared" si="3"/>
        <v>0</v>
      </c>
      <c r="AH25" t="s">
        <v>178</v>
      </c>
    </row>
    <row r="26" spans="1:34" hidden="1" x14ac:dyDescent="0.25">
      <c r="A26" t="s">
        <v>42</v>
      </c>
      <c r="B26">
        <v>0</v>
      </c>
      <c r="C26">
        <v>0</v>
      </c>
      <c r="D26">
        <v>207</v>
      </c>
      <c r="E26">
        <v>197</v>
      </c>
      <c r="F26">
        <v>4691</v>
      </c>
      <c r="G26">
        <v>5139</v>
      </c>
      <c r="H26">
        <v>5102</v>
      </c>
      <c r="I26">
        <v>4664</v>
      </c>
      <c r="J26">
        <v>0</v>
      </c>
      <c r="L26">
        <v>9766</v>
      </c>
      <c r="M26">
        <v>9355</v>
      </c>
      <c r="N26" s="1">
        <v>0.49836701367626002</v>
      </c>
      <c r="O26" s="1">
        <v>0.47739334558072999</v>
      </c>
      <c r="P26" s="1">
        <v>2.0199999999999999E-2</v>
      </c>
      <c r="Q26">
        <v>0.64753483648242005</v>
      </c>
      <c r="R26">
        <v>2.4640789501653902E-10</v>
      </c>
      <c r="S26" t="b">
        <v>1</v>
      </c>
      <c r="T26" t="b">
        <v>0</v>
      </c>
      <c r="V26" s="3"/>
      <c r="X26" s="4">
        <f t="shared" si="0"/>
        <v>20000</v>
      </c>
      <c r="AD26" t="b" cm="1">
        <f t="array" ref="AD26">OR(NOT(ISBLANK(Y26:AB26)))</f>
        <v>0</v>
      </c>
      <c r="AE26" t="b">
        <f t="shared" si="1"/>
        <v>0</v>
      </c>
      <c r="AF26" t="b">
        <f t="shared" si="2"/>
        <v>0</v>
      </c>
      <c r="AG26" t="b">
        <f t="shared" si="3"/>
        <v>0</v>
      </c>
    </row>
    <row r="27" spans="1:34" hidden="1" x14ac:dyDescent="0.25">
      <c r="A27" t="s">
        <v>43</v>
      </c>
      <c r="B27">
        <v>0</v>
      </c>
      <c r="C27">
        <v>0</v>
      </c>
      <c r="D27">
        <v>544</v>
      </c>
      <c r="E27">
        <v>542</v>
      </c>
      <c r="F27">
        <v>4732</v>
      </c>
      <c r="G27">
        <v>4725</v>
      </c>
      <c r="H27">
        <v>4724</v>
      </c>
      <c r="I27">
        <v>4733</v>
      </c>
      <c r="J27">
        <v>0</v>
      </c>
      <c r="L27">
        <v>9457</v>
      </c>
      <c r="M27">
        <v>9465</v>
      </c>
      <c r="N27" s="1">
        <v>0.5</v>
      </c>
      <c r="O27" s="1">
        <v>0.50042296711430601</v>
      </c>
      <c r="P27" s="1">
        <v>5.4300000000000001E-2</v>
      </c>
      <c r="Q27">
        <v>1</v>
      </c>
      <c r="R27">
        <v>0.90738324870530895</v>
      </c>
      <c r="S27" t="b">
        <v>1</v>
      </c>
      <c r="T27" t="b">
        <v>1</v>
      </c>
      <c r="V27" s="3"/>
      <c r="X27" s="4">
        <f t="shared" si="0"/>
        <v>20000</v>
      </c>
      <c r="AD27" t="b" cm="1">
        <f t="array" ref="AD27">OR(NOT(ISBLANK(Y27:AB27)))</f>
        <v>0</v>
      </c>
      <c r="AE27" t="b">
        <f t="shared" si="1"/>
        <v>0</v>
      </c>
      <c r="AF27" t="b">
        <f t="shared" si="2"/>
        <v>0</v>
      </c>
      <c r="AG27" t="b">
        <f t="shared" si="3"/>
        <v>0</v>
      </c>
    </row>
    <row r="28" spans="1:34" hidden="1" x14ac:dyDescent="0.25">
      <c r="A28" t="s">
        <v>44</v>
      </c>
      <c r="B28">
        <v>0</v>
      </c>
      <c r="C28">
        <v>0</v>
      </c>
      <c r="D28">
        <v>2741</v>
      </c>
      <c r="E28">
        <v>2712</v>
      </c>
      <c r="F28">
        <v>23863</v>
      </c>
      <c r="G28">
        <v>23400</v>
      </c>
      <c r="H28">
        <v>23396</v>
      </c>
      <c r="I28">
        <v>23888</v>
      </c>
      <c r="J28">
        <v>0</v>
      </c>
      <c r="L28">
        <v>47284</v>
      </c>
      <c r="M28">
        <v>47751</v>
      </c>
      <c r="N28" s="1">
        <v>0.50011105587697124</v>
      </c>
      <c r="O28" s="1">
        <v>0.50505039821464459</v>
      </c>
      <c r="P28" s="1">
        <v>5.4530000000000002E-2</v>
      </c>
      <c r="Q28">
        <v>0.94554998948721025</v>
      </c>
      <c r="R28">
        <v>1.8973744178600583E-3</v>
      </c>
      <c r="S28" t="b">
        <v>1</v>
      </c>
      <c r="T28" t="b">
        <v>0</v>
      </c>
      <c r="V28" s="3"/>
      <c r="X28" s="4">
        <f t="shared" si="0"/>
        <v>100000</v>
      </c>
      <c r="AD28" t="b" cm="1">
        <f t="array" ref="AD28">OR(NOT(ISBLANK(Y28:AB28)))</f>
        <v>0</v>
      </c>
      <c r="AE28" t="b">
        <f t="shared" si="1"/>
        <v>0</v>
      </c>
      <c r="AF28" t="b">
        <f t="shared" si="2"/>
        <v>0</v>
      </c>
      <c r="AG28" t="b">
        <f t="shared" si="3"/>
        <v>1</v>
      </c>
    </row>
    <row r="29" spans="1:34" hidden="1" x14ac:dyDescent="0.25">
      <c r="A29" t="s">
        <v>45</v>
      </c>
      <c r="B29">
        <v>256</v>
      </c>
      <c r="C29">
        <v>0</v>
      </c>
      <c r="D29">
        <v>532</v>
      </c>
      <c r="E29">
        <v>534</v>
      </c>
      <c r="F29">
        <v>4529</v>
      </c>
      <c r="G29">
        <v>4811</v>
      </c>
      <c r="H29">
        <v>4808</v>
      </c>
      <c r="I29">
        <v>4530</v>
      </c>
      <c r="J29">
        <v>256</v>
      </c>
      <c r="L29">
        <v>9338</v>
      </c>
      <c r="M29">
        <v>9059</v>
      </c>
      <c r="N29" s="1">
        <v>0.49994646107720297</v>
      </c>
      <c r="O29" s="1">
        <v>0.48500910161687499</v>
      </c>
      <c r="P29" s="1">
        <v>5.33E-2</v>
      </c>
      <c r="Q29">
        <v>0.98832412677772796</v>
      </c>
      <c r="R29">
        <v>4.17570160356969E-5</v>
      </c>
      <c r="S29" t="b">
        <v>1</v>
      </c>
      <c r="T29" t="b">
        <v>0</v>
      </c>
      <c r="V29" s="3"/>
      <c r="X29" s="4">
        <f t="shared" si="0"/>
        <v>20000</v>
      </c>
      <c r="AD29" t="b" cm="1">
        <f t="array" ref="AD29">OR(NOT(ISBLANK(Y29:AB29)))</f>
        <v>0</v>
      </c>
      <c r="AE29" t="b">
        <f t="shared" si="1"/>
        <v>0</v>
      </c>
      <c r="AF29" t="b">
        <f t="shared" si="2"/>
        <v>0</v>
      </c>
      <c r="AG29" t="b">
        <f t="shared" si="3"/>
        <v>0</v>
      </c>
    </row>
    <row r="30" spans="1:34" hidden="1" x14ac:dyDescent="0.25">
      <c r="A30" t="s">
        <v>46</v>
      </c>
      <c r="B30">
        <v>0</v>
      </c>
      <c r="C30">
        <v>0</v>
      </c>
      <c r="D30">
        <v>556</v>
      </c>
      <c r="E30">
        <v>551</v>
      </c>
      <c r="F30">
        <v>4894</v>
      </c>
      <c r="G30">
        <v>4604</v>
      </c>
      <c r="H30">
        <v>4550</v>
      </c>
      <c r="I30">
        <v>4845</v>
      </c>
      <c r="J30">
        <v>0</v>
      </c>
      <c r="L30">
        <v>9395</v>
      </c>
      <c r="M30">
        <v>9739</v>
      </c>
      <c r="N30" s="1">
        <v>0.49727412269094301</v>
      </c>
      <c r="O30" s="1">
        <v>0.51548192452230901</v>
      </c>
      <c r="P30" s="1">
        <v>5.5350000000000003E-2</v>
      </c>
      <c r="Q30">
        <v>0.45364414663961899</v>
      </c>
      <c r="R30">
        <v>2.0808220480318401E-5</v>
      </c>
      <c r="S30" t="b">
        <v>1</v>
      </c>
      <c r="T30" t="b">
        <v>0</v>
      </c>
      <c r="V30" s="3"/>
      <c r="X30" s="4">
        <f t="shared" si="0"/>
        <v>20000</v>
      </c>
      <c r="AD30" t="b" cm="1">
        <f t="array" ref="AD30">OR(NOT(ISBLANK(Y30:AB30)))</f>
        <v>0</v>
      </c>
      <c r="AE30" t="b">
        <f t="shared" si="1"/>
        <v>0</v>
      </c>
      <c r="AF30" t="b">
        <f t="shared" si="2"/>
        <v>0</v>
      </c>
      <c r="AG30" t="b">
        <f t="shared" si="3"/>
        <v>0</v>
      </c>
    </row>
    <row r="31" spans="1:34" hidden="1" x14ac:dyDescent="0.25">
      <c r="A31" t="s">
        <v>47</v>
      </c>
      <c r="B31">
        <v>0</v>
      </c>
      <c r="C31">
        <v>0</v>
      </c>
      <c r="D31">
        <v>171</v>
      </c>
      <c r="E31">
        <v>141</v>
      </c>
      <c r="F31">
        <v>4959</v>
      </c>
      <c r="G31">
        <v>4940</v>
      </c>
      <c r="H31">
        <v>4870</v>
      </c>
      <c r="I31">
        <v>4919</v>
      </c>
      <c r="J31">
        <v>0</v>
      </c>
      <c r="L31">
        <v>9789</v>
      </c>
      <c r="M31">
        <v>9878</v>
      </c>
      <c r="N31" s="1">
        <v>0.49720642015440802</v>
      </c>
      <c r="O31" s="1">
        <v>0.50172694026818299</v>
      </c>
      <c r="P31" s="1">
        <v>1.5599999999999999E-2</v>
      </c>
      <c r="Q31">
        <v>0.43306572059133802</v>
      </c>
      <c r="R31">
        <v>0.62794055697086804</v>
      </c>
      <c r="S31" t="b">
        <v>1</v>
      </c>
      <c r="T31" t="b">
        <v>1</v>
      </c>
      <c r="V31" s="3"/>
      <c r="X31" s="4">
        <f t="shared" si="0"/>
        <v>20000</v>
      </c>
      <c r="AD31" t="b" cm="1">
        <f t="array" ref="AD31">OR(NOT(ISBLANK(Y31:AB31)))</f>
        <v>0</v>
      </c>
      <c r="AE31" t="b">
        <f t="shared" si="1"/>
        <v>0</v>
      </c>
      <c r="AF31" t="b">
        <f t="shared" si="2"/>
        <v>0</v>
      </c>
      <c r="AG31" t="b">
        <f t="shared" si="3"/>
        <v>0</v>
      </c>
    </row>
    <row r="32" spans="1:34" hidden="1" x14ac:dyDescent="0.25">
      <c r="A32" t="s">
        <v>48</v>
      </c>
      <c r="B32">
        <v>0</v>
      </c>
      <c r="C32">
        <v>0</v>
      </c>
      <c r="D32">
        <v>1973</v>
      </c>
      <c r="E32">
        <v>1921</v>
      </c>
      <c r="F32">
        <v>24279</v>
      </c>
      <c r="G32">
        <v>23642</v>
      </c>
      <c r="H32">
        <v>23748</v>
      </c>
      <c r="I32">
        <v>24437</v>
      </c>
      <c r="J32">
        <v>0</v>
      </c>
      <c r="K32">
        <v>0</v>
      </c>
      <c r="L32">
        <v>48185</v>
      </c>
      <c r="M32">
        <v>48716</v>
      </c>
      <c r="N32" s="1">
        <v>0.50137348344536237</v>
      </c>
      <c r="O32" s="1">
        <v>0.50689863275966118</v>
      </c>
      <c r="P32" s="1">
        <v>3.8940000000000002E-2</v>
      </c>
      <c r="Q32">
        <v>0.39444373538491634</v>
      </c>
      <c r="R32">
        <v>1.891858241771692E-5</v>
      </c>
      <c r="S32" t="b">
        <v>1</v>
      </c>
      <c r="T32" t="b">
        <v>0</v>
      </c>
      <c r="V32" s="3"/>
      <c r="X32" s="4">
        <f t="shared" si="0"/>
        <v>100000</v>
      </c>
      <c r="AD32" t="b" cm="1">
        <f t="array" ref="AD32">OR(NOT(ISBLANK(Y32:AB32)))</f>
        <v>0</v>
      </c>
      <c r="AE32" t="b">
        <f t="shared" si="1"/>
        <v>0</v>
      </c>
      <c r="AF32" t="b">
        <f t="shared" si="2"/>
        <v>0</v>
      </c>
      <c r="AG32" t="b">
        <f t="shared" si="3"/>
        <v>0</v>
      </c>
    </row>
    <row r="33" spans="1:35" hidden="1" x14ac:dyDescent="0.25">
      <c r="A33" t="s">
        <v>49</v>
      </c>
      <c r="B33">
        <v>0</v>
      </c>
      <c r="C33">
        <v>0</v>
      </c>
      <c r="D33">
        <v>2200</v>
      </c>
      <c r="E33">
        <v>2173</v>
      </c>
      <c r="F33">
        <v>14179</v>
      </c>
      <c r="G33">
        <v>13774</v>
      </c>
      <c r="H33">
        <v>13621</v>
      </c>
      <c r="I33">
        <v>14053</v>
      </c>
      <c r="L33">
        <v>27674</v>
      </c>
      <c r="M33">
        <v>28232</v>
      </c>
      <c r="N33" s="1">
        <v>0.49749222499865176</v>
      </c>
      <c r="O33" s="1">
        <v>0.50752332500404485</v>
      </c>
      <c r="P33" s="1">
        <v>7.2883333333333328E-2</v>
      </c>
      <c r="Q33">
        <v>0.2368343669323851</v>
      </c>
      <c r="R33">
        <v>3.8697751232215632E-4</v>
      </c>
      <c r="S33" t="b">
        <v>1</v>
      </c>
      <c r="T33" t="b">
        <v>0</v>
      </c>
      <c r="V33" s="3"/>
      <c r="X33" s="4">
        <f t="shared" si="0"/>
        <v>60000</v>
      </c>
      <c r="AD33" t="b" cm="1">
        <f t="array" ref="AD33">OR(NOT(ISBLANK(Y33:AB33)))</f>
        <v>0</v>
      </c>
      <c r="AE33" t="b">
        <f t="shared" si="1"/>
        <v>0</v>
      </c>
      <c r="AF33" t="b">
        <f t="shared" si="2"/>
        <v>0</v>
      </c>
      <c r="AG33" t="b">
        <f t="shared" si="3"/>
        <v>0</v>
      </c>
    </row>
    <row r="34" spans="1:35" hidden="1" x14ac:dyDescent="0.25">
      <c r="A34" t="s">
        <v>50</v>
      </c>
      <c r="B34">
        <v>0</v>
      </c>
      <c r="C34">
        <v>0</v>
      </c>
      <c r="D34">
        <v>401</v>
      </c>
      <c r="E34">
        <v>399</v>
      </c>
      <c r="F34">
        <v>4818</v>
      </c>
      <c r="G34">
        <v>4761</v>
      </c>
      <c r="H34">
        <v>4781</v>
      </c>
      <c r="I34">
        <v>4840</v>
      </c>
      <c r="J34">
        <v>0</v>
      </c>
      <c r="L34">
        <v>9621</v>
      </c>
      <c r="M34">
        <v>9658</v>
      </c>
      <c r="N34" s="1">
        <v>0.50109375</v>
      </c>
      <c r="O34" s="1">
        <v>0.50302083333333303</v>
      </c>
      <c r="P34" s="1">
        <v>0.04</v>
      </c>
      <c r="Q34">
        <v>0.761806878411594</v>
      </c>
      <c r="R34">
        <v>0.402503823782003</v>
      </c>
      <c r="S34" t="b">
        <v>1</v>
      </c>
      <c r="T34" t="b">
        <v>1</v>
      </c>
      <c r="V34" s="3"/>
      <c r="X34" s="4">
        <f t="shared" ref="X34:X65" si="4">SUM(B34:I34)</f>
        <v>20000</v>
      </c>
      <c r="AD34" t="b" cm="1">
        <f t="array" ref="AD34">OR(NOT(ISBLANK(Y34:AB34)))</f>
        <v>0</v>
      </c>
      <c r="AE34" t="b">
        <f t="shared" si="1"/>
        <v>0</v>
      </c>
      <c r="AF34" t="b">
        <f t="shared" si="2"/>
        <v>0</v>
      </c>
      <c r="AG34" t="b">
        <f t="shared" si="3"/>
        <v>0</v>
      </c>
    </row>
    <row r="35" spans="1:35" x14ac:dyDescent="0.25">
      <c r="A35" s="12" t="s">
        <v>51</v>
      </c>
      <c r="B35">
        <v>0</v>
      </c>
      <c r="C35">
        <v>0</v>
      </c>
      <c r="D35">
        <v>2293</v>
      </c>
      <c r="E35">
        <v>2232</v>
      </c>
      <c r="F35">
        <v>23033</v>
      </c>
      <c r="G35">
        <v>24082</v>
      </c>
      <c r="H35">
        <v>24674</v>
      </c>
      <c r="I35">
        <v>23686</v>
      </c>
      <c r="K35">
        <v>0</v>
      </c>
      <c r="L35">
        <v>48360</v>
      </c>
      <c r="M35">
        <v>46719</v>
      </c>
      <c r="N35" s="1">
        <v>0.50652003142183821</v>
      </c>
      <c r="O35" s="1">
        <v>0.48933228593872741</v>
      </c>
      <c r="P35" s="1">
        <v>4.5249999999999999E-2</v>
      </c>
      <c r="Q35">
        <v>5.5954417347355195E-5</v>
      </c>
      <c r="R35">
        <v>4.3265563304719134E-11</v>
      </c>
      <c r="S35" t="b">
        <v>0</v>
      </c>
      <c r="T35" t="b">
        <v>0</v>
      </c>
      <c r="V35" s="3"/>
      <c r="X35" s="4">
        <f t="shared" si="4"/>
        <v>100000</v>
      </c>
      <c r="AD35" t="b" cm="1">
        <f t="array" ref="AD35">OR(NOT(ISBLANK(Y35:AB35)))</f>
        <v>0</v>
      </c>
      <c r="AE35" t="b">
        <f t="shared" si="1"/>
        <v>1</v>
      </c>
      <c r="AF35" t="b">
        <f t="shared" si="2"/>
        <v>1</v>
      </c>
      <c r="AG35" t="b">
        <f t="shared" si="3"/>
        <v>0</v>
      </c>
      <c r="AH35" t="s">
        <v>168</v>
      </c>
    </row>
    <row r="36" spans="1:35" hidden="1" x14ac:dyDescent="0.25">
      <c r="A36" t="s">
        <v>52</v>
      </c>
      <c r="B36">
        <v>0</v>
      </c>
      <c r="C36">
        <v>399</v>
      </c>
      <c r="D36">
        <v>0</v>
      </c>
      <c r="E36">
        <v>0</v>
      </c>
      <c r="F36">
        <v>5128</v>
      </c>
      <c r="G36">
        <v>4737</v>
      </c>
      <c r="H36">
        <v>4654</v>
      </c>
      <c r="I36">
        <v>5082</v>
      </c>
      <c r="J36">
        <v>399</v>
      </c>
      <c r="L36">
        <v>9736</v>
      </c>
      <c r="M36">
        <v>10210</v>
      </c>
      <c r="N36" s="1">
        <v>0.496709351563695</v>
      </c>
      <c r="O36" s="1">
        <v>0.52089179123514096</v>
      </c>
      <c r="P36" s="1">
        <v>0</v>
      </c>
      <c r="Q36">
        <v>0.35683898457737001</v>
      </c>
      <c r="R36">
        <v>4.9201423863839002E-9</v>
      </c>
      <c r="S36" t="b">
        <v>1</v>
      </c>
      <c r="T36" t="b">
        <v>0</v>
      </c>
      <c r="V36" s="3"/>
      <c r="X36" s="4">
        <f t="shared" si="4"/>
        <v>20000</v>
      </c>
      <c r="AD36" t="b" cm="1">
        <f t="array" ref="AD36">OR(NOT(ISBLANK(Y36:AB36)))</f>
        <v>0</v>
      </c>
      <c r="AE36" t="b">
        <f t="shared" si="1"/>
        <v>0</v>
      </c>
      <c r="AF36" t="b">
        <f t="shared" si="2"/>
        <v>0</v>
      </c>
      <c r="AG36" t="b">
        <f t="shared" si="3"/>
        <v>0</v>
      </c>
    </row>
    <row r="37" spans="1:35" hidden="1" x14ac:dyDescent="0.25">
      <c r="A37" t="s">
        <v>53</v>
      </c>
      <c r="B37">
        <v>136</v>
      </c>
      <c r="C37">
        <v>0</v>
      </c>
      <c r="D37">
        <v>57</v>
      </c>
      <c r="E37">
        <v>57</v>
      </c>
      <c r="F37">
        <v>14886</v>
      </c>
      <c r="G37">
        <v>14948</v>
      </c>
      <c r="H37">
        <v>14992</v>
      </c>
      <c r="I37">
        <v>14924</v>
      </c>
      <c r="L37">
        <v>29916</v>
      </c>
      <c r="M37">
        <v>29810</v>
      </c>
      <c r="N37" s="1">
        <v>0.50068619246861923</v>
      </c>
      <c r="O37" s="1">
        <v>0.49891213389121342</v>
      </c>
      <c r="P37" s="1">
        <v>1.9E-3</v>
      </c>
      <c r="Q37">
        <v>0.73727569309257501</v>
      </c>
      <c r="R37">
        <v>0.59484241468781196</v>
      </c>
      <c r="S37" t="b">
        <v>1</v>
      </c>
      <c r="T37" t="b">
        <v>1</v>
      </c>
      <c r="V37" s="3"/>
      <c r="X37" s="4">
        <f t="shared" si="4"/>
        <v>60000</v>
      </c>
      <c r="AD37" t="b" cm="1">
        <f t="array" ref="AD37">OR(NOT(ISBLANK(Y37:AB37)))</f>
        <v>0</v>
      </c>
      <c r="AE37" t="b">
        <f t="shared" si="1"/>
        <v>0</v>
      </c>
      <c r="AF37" t="b">
        <f t="shared" si="2"/>
        <v>0</v>
      </c>
      <c r="AG37" t="b">
        <f t="shared" si="3"/>
        <v>0</v>
      </c>
    </row>
    <row r="38" spans="1:35" x14ac:dyDescent="0.25">
      <c r="A38" s="16" t="s">
        <v>54</v>
      </c>
      <c r="B38">
        <v>0</v>
      </c>
      <c r="C38">
        <v>0</v>
      </c>
      <c r="D38">
        <v>0</v>
      </c>
      <c r="E38">
        <v>0</v>
      </c>
      <c r="F38">
        <v>72059</v>
      </c>
      <c r="G38">
        <v>78116</v>
      </c>
      <c r="H38">
        <v>77941</v>
      </c>
      <c r="I38">
        <v>71884</v>
      </c>
      <c r="J38">
        <v>0</v>
      </c>
      <c r="K38">
        <v>0</v>
      </c>
      <c r="L38">
        <v>149825</v>
      </c>
      <c r="M38">
        <v>143943</v>
      </c>
      <c r="N38" s="1">
        <v>0.49941666666666601</v>
      </c>
      <c r="O38" s="1">
        <v>0.47981000000000001</v>
      </c>
      <c r="P38" s="1">
        <v>0</v>
      </c>
      <c r="Q38">
        <v>0.52281665391908805</v>
      </c>
      <c r="R38">
        <v>2.1670277259777199E-108</v>
      </c>
      <c r="S38" t="b">
        <v>1</v>
      </c>
      <c r="T38" t="b">
        <v>0</v>
      </c>
      <c r="V38" s="3"/>
      <c r="X38" s="4">
        <f t="shared" si="4"/>
        <v>300000</v>
      </c>
      <c r="AD38" t="b" cm="1">
        <f t="array" ref="AD38">OR(NOT(ISBLANK(Y38:AB38)))</f>
        <v>0</v>
      </c>
      <c r="AE38" t="b">
        <f t="shared" si="1"/>
        <v>0</v>
      </c>
      <c r="AF38" t="b">
        <f t="shared" si="2"/>
        <v>0</v>
      </c>
      <c r="AG38" t="b">
        <f t="shared" si="3"/>
        <v>0</v>
      </c>
      <c r="AI38" s="5" t="s">
        <v>181</v>
      </c>
    </row>
    <row r="39" spans="1:35" hidden="1" x14ac:dyDescent="0.25">
      <c r="A39" t="s">
        <v>55</v>
      </c>
      <c r="B39">
        <v>0</v>
      </c>
      <c r="C39">
        <v>0</v>
      </c>
      <c r="D39">
        <v>0</v>
      </c>
      <c r="E39">
        <v>0</v>
      </c>
      <c r="F39">
        <v>5010</v>
      </c>
      <c r="G39">
        <v>4991</v>
      </c>
      <c r="H39">
        <v>4990</v>
      </c>
      <c r="I39">
        <v>5009</v>
      </c>
      <c r="J39">
        <v>0</v>
      </c>
      <c r="L39">
        <v>9999</v>
      </c>
      <c r="M39">
        <v>10019</v>
      </c>
      <c r="N39" s="1">
        <v>0.49995000000000001</v>
      </c>
      <c r="O39" s="1">
        <v>0.50095000000000001</v>
      </c>
      <c r="P39" s="1">
        <v>0</v>
      </c>
      <c r="Q39">
        <v>0.98871658444415</v>
      </c>
      <c r="R39">
        <v>0.78816010784224999</v>
      </c>
      <c r="S39" t="b">
        <v>1</v>
      </c>
      <c r="T39" t="b">
        <v>1</v>
      </c>
      <c r="V39" s="3"/>
      <c r="X39" s="4">
        <f t="shared" si="4"/>
        <v>20000</v>
      </c>
      <c r="AD39" t="b" cm="1">
        <f t="array" ref="AD39">OR(NOT(ISBLANK(Y39:AB39)))</f>
        <v>0</v>
      </c>
      <c r="AE39" t="b">
        <f t="shared" si="1"/>
        <v>0</v>
      </c>
      <c r="AF39" t="b">
        <f t="shared" si="2"/>
        <v>0</v>
      </c>
      <c r="AG39" t="b">
        <f t="shared" si="3"/>
        <v>0</v>
      </c>
    </row>
    <row r="40" spans="1:35" hidden="1" x14ac:dyDescent="0.25">
      <c r="A40" t="s">
        <v>56</v>
      </c>
      <c r="B40">
        <v>967</v>
      </c>
      <c r="C40">
        <v>0</v>
      </c>
      <c r="D40">
        <v>209</v>
      </c>
      <c r="E40">
        <v>222</v>
      </c>
      <c r="F40">
        <v>3776</v>
      </c>
      <c r="G40">
        <v>5428</v>
      </c>
      <c r="H40">
        <v>5551</v>
      </c>
      <c r="I40">
        <v>3847</v>
      </c>
      <c r="J40">
        <v>967</v>
      </c>
      <c r="L40">
        <v>9398</v>
      </c>
      <c r="M40">
        <v>7623</v>
      </c>
      <c r="N40" s="1">
        <v>0.50521449306526101</v>
      </c>
      <c r="O40" s="1">
        <v>0.40979464573701702</v>
      </c>
      <c r="P40" s="1">
        <v>2.155E-2</v>
      </c>
      <c r="Q40">
        <v>0.15491000513179301</v>
      </c>
      <c r="R40">
        <v>1.0878674972243601E-133</v>
      </c>
      <c r="S40" t="b">
        <v>1</v>
      </c>
      <c r="T40" t="b">
        <v>0</v>
      </c>
      <c r="V40" s="3"/>
      <c r="X40" s="4">
        <f t="shared" si="4"/>
        <v>20000</v>
      </c>
      <c r="AD40" t="b" cm="1">
        <f t="array" ref="AD40">OR(NOT(ISBLANK(Y40:AB40)))</f>
        <v>0</v>
      </c>
      <c r="AE40" t="b">
        <f t="shared" si="1"/>
        <v>0</v>
      </c>
      <c r="AF40" t="b">
        <f t="shared" si="2"/>
        <v>0</v>
      </c>
      <c r="AG40" t="b">
        <f t="shared" si="3"/>
        <v>0</v>
      </c>
    </row>
    <row r="41" spans="1:35" hidden="1" x14ac:dyDescent="0.25">
      <c r="A41" t="s">
        <v>57</v>
      </c>
      <c r="B41">
        <v>3</v>
      </c>
      <c r="C41">
        <v>0</v>
      </c>
      <c r="D41">
        <v>615</v>
      </c>
      <c r="E41">
        <v>551</v>
      </c>
      <c r="F41">
        <v>4054</v>
      </c>
      <c r="G41">
        <v>5283</v>
      </c>
      <c r="H41">
        <v>5328</v>
      </c>
      <c r="I41">
        <v>4166</v>
      </c>
      <c r="J41">
        <f>SUM(B41:C41)</f>
        <v>3</v>
      </c>
      <c r="L41">
        <v>9494</v>
      </c>
      <c r="M41">
        <v>8220</v>
      </c>
      <c r="N41" s="1">
        <v>0.50416865806383004</v>
      </c>
      <c r="O41" s="1">
        <v>0.43651425840369601</v>
      </c>
      <c r="P41" s="1">
        <v>5.8299999999999998E-2</v>
      </c>
      <c r="Q41">
        <v>0.25258328726667201</v>
      </c>
      <c r="R41">
        <v>5.44382792155856E-68</v>
      </c>
      <c r="S41" t="b">
        <v>1</v>
      </c>
      <c r="T41" t="b">
        <v>0</v>
      </c>
      <c r="V41" s="3"/>
      <c r="X41" s="4">
        <f t="shared" si="4"/>
        <v>20000</v>
      </c>
      <c r="AD41" t="b" cm="1">
        <f t="array" ref="AD41">OR(NOT(ISBLANK(Y41:AB41)))</f>
        <v>0</v>
      </c>
      <c r="AE41" t="b">
        <f t="shared" si="1"/>
        <v>0</v>
      </c>
      <c r="AF41" t="b">
        <f t="shared" si="2"/>
        <v>0</v>
      </c>
      <c r="AG41" t="b">
        <f t="shared" si="3"/>
        <v>0</v>
      </c>
    </row>
    <row r="42" spans="1:35" hidden="1" x14ac:dyDescent="0.25">
      <c r="A42" t="s">
        <v>58</v>
      </c>
      <c r="B42">
        <v>0</v>
      </c>
      <c r="C42">
        <v>0</v>
      </c>
      <c r="D42">
        <v>1</v>
      </c>
      <c r="E42">
        <v>4</v>
      </c>
      <c r="F42">
        <v>4939</v>
      </c>
      <c r="G42">
        <v>5038</v>
      </c>
      <c r="H42">
        <v>5060</v>
      </c>
      <c r="I42">
        <v>4958</v>
      </c>
      <c r="J42">
        <f t="shared" ref="J42:J105" si="5">SUM(B42:C42)</f>
        <v>0</v>
      </c>
      <c r="L42">
        <v>10018</v>
      </c>
      <c r="M42">
        <v>9897</v>
      </c>
      <c r="N42" s="1">
        <v>0.50102525631407802</v>
      </c>
      <c r="O42" s="1">
        <v>0.49497374343585898</v>
      </c>
      <c r="P42" s="1">
        <v>2.5000000000000001E-4</v>
      </c>
      <c r="Q42">
        <v>0.77185446921201395</v>
      </c>
      <c r="R42">
        <v>0.155182399040973</v>
      </c>
      <c r="S42" t="b">
        <v>1</v>
      </c>
      <c r="T42" t="b">
        <v>1</v>
      </c>
      <c r="V42" s="3"/>
      <c r="X42" s="4">
        <f t="shared" si="4"/>
        <v>20000</v>
      </c>
      <c r="AD42" t="b" cm="1">
        <f t="array" ref="AD42">OR(NOT(ISBLANK(Y42:AB42)))</f>
        <v>0</v>
      </c>
      <c r="AE42" t="b">
        <f t="shared" si="1"/>
        <v>0</v>
      </c>
      <c r="AF42" t="b">
        <f t="shared" si="2"/>
        <v>0</v>
      </c>
      <c r="AG42" t="b">
        <f t="shared" si="3"/>
        <v>0</v>
      </c>
    </row>
    <row r="43" spans="1:35" hidden="1" x14ac:dyDescent="0.25">
      <c r="A43" t="s">
        <v>59</v>
      </c>
      <c r="B43">
        <v>0</v>
      </c>
      <c r="C43">
        <v>0</v>
      </c>
      <c r="D43">
        <v>1467</v>
      </c>
      <c r="E43">
        <v>1477</v>
      </c>
      <c r="F43">
        <v>13821</v>
      </c>
      <c r="G43">
        <v>14593</v>
      </c>
      <c r="H43">
        <v>14712</v>
      </c>
      <c r="I43">
        <v>13930</v>
      </c>
      <c r="J43">
        <f t="shared" si="5"/>
        <v>0</v>
      </c>
      <c r="K43">
        <v>0</v>
      </c>
      <c r="L43">
        <v>28642</v>
      </c>
      <c r="M43">
        <v>27751</v>
      </c>
      <c r="N43" s="1">
        <v>0.50199803701626478</v>
      </c>
      <c r="O43" s="1">
        <v>0.48638180033651152</v>
      </c>
      <c r="P43" s="1">
        <v>4.9066666666666668E-2</v>
      </c>
      <c r="Q43">
        <v>0.33982143158014516</v>
      </c>
      <c r="R43">
        <v>7.7283718674284811E-11</v>
      </c>
      <c r="S43" t="b">
        <v>1</v>
      </c>
      <c r="T43" t="b">
        <v>0</v>
      </c>
      <c r="V43" s="3"/>
      <c r="X43" s="4">
        <f t="shared" si="4"/>
        <v>60000</v>
      </c>
      <c r="AD43" t="b" cm="1">
        <f t="array" ref="AD43">OR(NOT(ISBLANK(Y43:AB43)))</f>
        <v>0</v>
      </c>
      <c r="AE43" t="b">
        <f t="shared" si="1"/>
        <v>0</v>
      </c>
      <c r="AF43" t="b">
        <f t="shared" si="2"/>
        <v>0</v>
      </c>
      <c r="AG43" t="b">
        <f t="shared" si="3"/>
        <v>0</v>
      </c>
    </row>
    <row r="44" spans="1:35" hidden="1" x14ac:dyDescent="0.25">
      <c r="A44" t="s">
        <v>60</v>
      </c>
      <c r="B44">
        <v>0</v>
      </c>
      <c r="C44">
        <v>0</v>
      </c>
      <c r="D44">
        <v>459</v>
      </c>
      <c r="E44">
        <v>453</v>
      </c>
      <c r="F44">
        <v>5025</v>
      </c>
      <c r="G44">
        <v>4449</v>
      </c>
      <c r="H44">
        <v>4516</v>
      </c>
      <c r="I44">
        <v>5098</v>
      </c>
      <c r="J44">
        <f t="shared" si="5"/>
        <v>0</v>
      </c>
      <c r="L44">
        <v>9614</v>
      </c>
      <c r="M44">
        <v>10123</v>
      </c>
      <c r="N44" s="1">
        <v>0.50366722548197795</v>
      </c>
      <c r="O44" s="1">
        <v>0.53033319362950504</v>
      </c>
      <c r="P44" s="1">
        <v>4.5600000000000002E-2</v>
      </c>
      <c r="Q44">
        <v>0.31090599159387899</v>
      </c>
      <c r="R44">
        <v>5.2200896558952802E-17</v>
      </c>
      <c r="S44" t="b">
        <v>1</v>
      </c>
      <c r="T44" t="b">
        <v>0</v>
      </c>
      <c r="V44" s="3"/>
      <c r="X44" s="4">
        <f t="shared" si="4"/>
        <v>20000</v>
      </c>
      <c r="AD44" t="b" cm="1">
        <f t="array" ref="AD44">OR(NOT(ISBLANK(Y44:AB44)))</f>
        <v>0</v>
      </c>
      <c r="AE44" t="b">
        <f t="shared" si="1"/>
        <v>0</v>
      </c>
      <c r="AF44" t="b">
        <f t="shared" si="2"/>
        <v>0</v>
      </c>
      <c r="AG44" t="b">
        <f t="shared" si="3"/>
        <v>0</v>
      </c>
    </row>
    <row r="45" spans="1:35" hidden="1" x14ac:dyDescent="0.25">
      <c r="A45" t="s">
        <v>61</v>
      </c>
      <c r="B45">
        <v>0</v>
      </c>
      <c r="C45">
        <v>0</v>
      </c>
      <c r="D45">
        <v>0</v>
      </c>
      <c r="E45">
        <v>0</v>
      </c>
      <c r="F45">
        <v>5000</v>
      </c>
      <c r="G45">
        <v>5021</v>
      </c>
      <c r="H45">
        <v>5000</v>
      </c>
      <c r="I45">
        <v>4979</v>
      </c>
      <c r="J45">
        <f t="shared" si="5"/>
        <v>0</v>
      </c>
      <c r="L45">
        <v>9979</v>
      </c>
      <c r="M45">
        <v>9979</v>
      </c>
      <c r="N45" s="1">
        <v>0.49895</v>
      </c>
      <c r="O45" s="1">
        <v>0.49895</v>
      </c>
      <c r="P45" s="1">
        <v>0</v>
      </c>
      <c r="Q45">
        <v>0.76647807701789605</v>
      </c>
      <c r="R45">
        <v>0.76647807701789605</v>
      </c>
      <c r="S45" t="b">
        <v>1</v>
      </c>
      <c r="T45" t="b">
        <v>1</v>
      </c>
      <c r="V45" s="3"/>
      <c r="X45" s="4">
        <f t="shared" si="4"/>
        <v>20000</v>
      </c>
      <c r="AD45" t="b" cm="1">
        <f t="array" ref="AD45">OR(NOT(ISBLANK(Y45:AB45)))</f>
        <v>0</v>
      </c>
      <c r="AE45" t="b">
        <f t="shared" si="1"/>
        <v>0</v>
      </c>
      <c r="AF45" t="b">
        <f t="shared" si="2"/>
        <v>0</v>
      </c>
      <c r="AG45" t="b">
        <f t="shared" si="3"/>
        <v>0</v>
      </c>
    </row>
    <row r="46" spans="1:35" hidden="1" x14ac:dyDescent="0.25">
      <c r="A46" t="s">
        <v>62</v>
      </c>
      <c r="B46">
        <v>0</v>
      </c>
      <c r="C46">
        <v>1198</v>
      </c>
      <c r="D46">
        <v>0</v>
      </c>
      <c r="E46">
        <v>0</v>
      </c>
      <c r="F46">
        <v>14561</v>
      </c>
      <c r="G46">
        <v>14737</v>
      </c>
      <c r="H46">
        <v>14821</v>
      </c>
      <c r="I46">
        <v>14683</v>
      </c>
      <c r="J46">
        <f t="shared" si="5"/>
        <v>1198</v>
      </c>
      <c r="L46">
        <v>29504</v>
      </c>
      <c r="M46">
        <v>29244</v>
      </c>
      <c r="N46" s="1">
        <v>0.50175164110064285</v>
      </c>
      <c r="O46" s="1">
        <v>0.49733002278834054</v>
      </c>
      <c r="P46" s="1">
        <v>0</v>
      </c>
      <c r="Q46">
        <v>0.39559465679382277</v>
      </c>
      <c r="R46">
        <v>0.19535743569976463</v>
      </c>
      <c r="S46" t="b">
        <v>1</v>
      </c>
      <c r="T46" t="b">
        <v>1</v>
      </c>
      <c r="V46" s="3"/>
      <c r="X46" s="4">
        <f t="shared" si="4"/>
        <v>60000</v>
      </c>
      <c r="AD46" t="b" cm="1">
        <f t="array" ref="AD46">OR(NOT(ISBLANK(Y46:AB46)))</f>
        <v>0</v>
      </c>
      <c r="AE46" t="b">
        <f t="shared" si="1"/>
        <v>0</v>
      </c>
      <c r="AF46" t="b">
        <f t="shared" si="2"/>
        <v>0</v>
      </c>
      <c r="AG46" t="b">
        <f t="shared" si="3"/>
        <v>0</v>
      </c>
    </row>
    <row r="47" spans="1:35" hidden="1" x14ac:dyDescent="0.25">
      <c r="A47" t="s">
        <v>63</v>
      </c>
      <c r="B47">
        <v>0</v>
      </c>
      <c r="C47">
        <v>25</v>
      </c>
      <c r="D47">
        <v>292</v>
      </c>
      <c r="E47">
        <v>238</v>
      </c>
      <c r="F47">
        <v>6258</v>
      </c>
      <c r="G47">
        <v>3547</v>
      </c>
      <c r="H47">
        <v>3438</v>
      </c>
      <c r="I47">
        <v>6202</v>
      </c>
      <c r="J47">
        <f t="shared" si="5"/>
        <v>25</v>
      </c>
      <c r="L47">
        <v>9640</v>
      </c>
      <c r="M47">
        <v>12460</v>
      </c>
      <c r="N47" s="1">
        <v>0.495757264078169</v>
      </c>
      <c r="O47" s="1">
        <v>0.64078169195165802</v>
      </c>
      <c r="P47" s="1">
        <v>2.6499999999999999E-2</v>
      </c>
      <c r="Q47">
        <v>0.23670635025450101</v>
      </c>
      <c r="R47">
        <v>0</v>
      </c>
      <c r="S47" t="b">
        <v>1</v>
      </c>
      <c r="T47" t="b">
        <v>0</v>
      </c>
      <c r="V47" s="3"/>
      <c r="X47" s="4">
        <f t="shared" si="4"/>
        <v>20000</v>
      </c>
      <c r="AD47" t="b" cm="1">
        <f t="array" ref="AD47">OR(NOT(ISBLANK(Y47:AB47)))</f>
        <v>0</v>
      </c>
      <c r="AE47" t="b">
        <f t="shared" si="1"/>
        <v>1</v>
      </c>
      <c r="AF47" t="b">
        <f t="shared" si="2"/>
        <v>0</v>
      </c>
      <c r="AG47" t="b">
        <f t="shared" si="3"/>
        <v>0</v>
      </c>
    </row>
    <row r="48" spans="1:35" hidden="1" x14ac:dyDescent="0.25">
      <c r="A48" t="s">
        <v>64</v>
      </c>
      <c r="B48">
        <v>0</v>
      </c>
      <c r="C48">
        <v>0</v>
      </c>
      <c r="D48">
        <v>6169</v>
      </c>
      <c r="E48">
        <v>6127</v>
      </c>
      <c r="F48">
        <v>8387</v>
      </c>
      <c r="G48">
        <v>15528</v>
      </c>
      <c r="H48">
        <v>15444</v>
      </c>
      <c r="I48">
        <v>8345</v>
      </c>
      <c r="J48">
        <f t="shared" si="5"/>
        <v>0</v>
      </c>
      <c r="L48">
        <v>23789</v>
      </c>
      <c r="M48">
        <v>16732</v>
      </c>
      <c r="N48" s="1">
        <v>0.49867935602884456</v>
      </c>
      <c r="O48" s="1">
        <v>0.35074626865671643</v>
      </c>
      <c r="P48" s="1">
        <v>0.20493333333333333</v>
      </c>
      <c r="Q48">
        <v>0.56401364415822641</v>
      </c>
      <c r="R48">
        <v>0</v>
      </c>
      <c r="S48" t="b">
        <v>1</v>
      </c>
      <c r="T48" t="b">
        <v>0</v>
      </c>
      <c r="V48" s="3"/>
      <c r="X48" s="4">
        <f t="shared" si="4"/>
        <v>60000</v>
      </c>
      <c r="AD48" t="b" cm="1">
        <f t="array" ref="AD48">OR(NOT(ISBLANK(Y48:AB48)))</f>
        <v>0</v>
      </c>
      <c r="AE48" t="b">
        <f t="shared" si="1"/>
        <v>1</v>
      </c>
      <c r="AF48" t="b">
        <f t="shared" si="2"/>
        <v>0</v>
      </c>
      <c r="AG48" t="b">
        <f t="shared" si="3"/>
        <v>0</v>
      </c>
    </row>
    <row r="49" spans="1:33" hidden="1" x14ac:dyDescent="0.25">
      <c r="A49" t="s">
        <v>65</v>
      </c>
      <c r="B49">
        <v>0</v>
      </c>
      <c r="C49">
        <v>7</v>
      </c>
      <c r="D49">
        <v>1</v>
      </c>
      <c r="E49">
        <v>4</v>
      </c>
      <c r="F49">
        <v>15186</v>
      </c>
      <c r="G49">
        <v>14726</v>
      </c>
      <c r="H49">
        <v>14809</v>
      </c>
      <c r="I49">
        <v>15267</v>
      </c>
      <c r="J49">
        <f t="shared" si="5"/>
        <v>7</v>
      </c>
      <c r="L49">
        <v>30076</v>
      </c>
      <c r="M49">
        <v>30453</v>
      </c>
      <c r="N49" s="1">
        <v>0.50136694005467763</v>
      </c>
      <c r="O49" s="1">
        <v>0.50765153030606125</v>
      </c>
      <c r="P49" s="1">
        <v>8.3333333333333331E-5</v>
      </c>
      <c r="Q49">
        <v>0.50311653847886251</v>
      </c>
      <c r="R49">
        <v>1.7818338363849093E-4</v>
      </c>
      <c r="S49" t="b">
        <v>1</v>
      </c>
      <c r="T49" t="b">
        <v>0</v>
      </c>
      <c r="V49" s="3"/>
      <c r="X49" s="4">
        <f t="shared" si="4"/>
        <v>60000</v>
      </c>
      <c r="AD49" t="b" cm="1">
        <f t="array" ref="AD49">OR(NOT(ISBLANK(Y49:AB49)))</f>
        <v>0</v>
      </c>
      <c r="AE49" t="b">
        <f t="shared" si="1"/>
        <v>0</v>
      </c>
      <c r="AF49" t="b">
        <f t="shared" si="2"/>
        <v>0</v>
      </c>
      <c r="AG49" t="b">
        <f t="shared" si="3"/>
        <v>0</v>
      </c>
    </row>
    <row r="50" spans="1:33" hidden="1" x14ac:dyDescent="0.25">
      <c r="A50" t="s">
        <v>66</v>
      </c>
      <c r="B50">
        <v>0</v>
      </c>
      <c r="C50">
        <v>0</v>
      </c>
      <c r="D50">
        <v>0</v>
      </c>
      <c r="E50">
        <v>0</v>
      </c>
      <c r="F50">
        <v>5719</v>
      </c>
      <c r="G50">
        <v>4367</v>
      </c>
      <c r="H50">
        <v>4281</v>
      </c>
      <c r="I50">
        <v>5633</v>
      </c>
      <c r="J50">
        <f t="shared" si="5"/>
        <v>0</v>
      </c>
      <c r="L50">
        <v>9914</v>
      </c>
      <c r="M50">
        <v>11352</v>
      </c>
      <c r="N50" s="1">
        <v>0.49569999999999997</v>
      </c>
      <c r="O50" s="1">
        <v>0.56759999999999999</v>
      </c>
      <c r="P50" s="1">
        <v>0</v>
      </c>
      <c r="Q50">
        <v>0.22389973167643901</v>
      </c>
      <c r="R50">
        <v>1.7155617939637901E-81</v>
      </c>
      <c r="S50" t="b">
        <v>1</v>
      </c>
      <c r="T50" t="b">
        <v>0</v>
      </c>
      <c r="V50" s="3"/>
      <c r="X50" s="4">
        <f t="shared" si="4"/>
        <v>20000</v>
      </c>
      <c r="AD50" t="b" cm="1">
        <f t="array" ref="AD50">OR(NOT(ISBLANK(Y50:AB50)))</f>
        <v>0</v>
      </c>
      <c r="AE50" t="b">
        <f t="shared" si="1"/>
        <v>0</v>
      </c>
      <c r="AF50" t="b">
        <f t="shared" si="2"/>
        <v>0</v>
      </c>
      <c r="AG50" t="b">
        <f t="shared" si="3"/>
        <v>0</v>
      </c>
    </row>
    <row r="51" spans="1:33" hidden="1" x14ac:dyDescent="0.25">
      <c r="A51" t="s">
        <v>67</v>
      </c>
      <c r="B51">
        <v>7</v>
      </c>
      <c r="C51">
        <v>0</v>
      </c>
      <c r="D51">
        <v>0</v>
      </c>
      <c r="E51">
        <v>0</v>
      </c>
      <c r="F51">
        <v>5052</v>
      </c>
      <c r="G51">
        <v>4951</v>
      </c>
      <c r="H51">
        <v>4946</v>
      </c>
      <c r="I51">
        <v>5044</v>
      </c>
      <c r="J51">
        <f t="shared" si="5"/>
        <v>7</v>
      </c>
      <c r="L51">
        <v>9990</v>
      </c>
      <c r="M51">
        <v>10096</v>
      </c>
      <c r="N51" s="1">
        <v>0.49967488621017297</v>
      </c>
      <c r="O51" s="1">
        <v>0.50497674185965002</v>
      </c>
      <c r="P51" s="1">
        <v>0</v>
      </c>
      <c r="Q51">
        <v>0.92674573251038395</v>
      </c>
      <c r="R51">
        <v>0.15931212776257</v>
      </c>
      <c r="S51" t="b">
        <v>1</v>
      </c>
      <c r="T51" t="b">
        <v>1</v>
      </c>
      <c r="V51" s="3"/>
      <c r="X51" s="4">
        <f t="shared" si="4"/>
        <v>20000</v>
      </c>
      <c r="AD51" t="b" cm="1">
        <f t="array" ref="AD51">OR(NOT(ISBLANK(Y51:AB51)))</f>
        <v>0</v>
      </c>
      <c r="AE51" t="b">
        <f t="shared" si="1"/>
        <v>0</v>
      </c>
      <c r="AF51" t="b">
        <f t="shared" si="2"/>
        <v>0</v>
      </c>
      <c r="AG51" t="b">
        <f t="shared" si="3"/>
        <v>0</v>
      </c>
    </row>
    <row r="52" spans="1:33" hidden="1" x14ac:dyDescent="0.25">
      <c r="A52" t="s">
        <v>68</v>
      </c>
      <c r="B52">
        <v>22</v>
      </c>
      <c r="C52">
        <v>2258</v>
      </c>
      <c r="D52">
        <v>0</v>
      </c>
      <c r="E52">
        <v>0</v>
      </c>
      <c r="F52">
        <v>24587</v>
      </c>
      <c r="G52">
        <v>24223</v>
      </c>
      <c r="H52">
        <v>24261</v>
      </c>
      <c r="I52">
        <v>24649</v>
      </c>
      <c r="J52">
        <v>2280</v>
      </c>
      <c r="L52">
        <v>48910</v>
      </c>
      <c r="M52">
        <v>49236</v>
      </c>
      <c r="N52" s="1">
        <v>0.50051166598444541</v>
      </c>
      <c r="O52" s="1">
        <v>0.50384772820302903</v>
      </c>
      <c r="P52" s="1">
        <v>0</v>
      </c>
      <c r="Q52">
        <v>0.74904747109147096</v>
      </c>
      <c r="R52">
        <v>1.6145272394565969E-2</v>
      </c>
      <c r="S52" t="b">
        <v>1</v>
      </c>
      <c r="T52" t="b">
        <v>0</v>
      </c>
      <c r="V52" s="3"/>
      <c r="X52" s="4">
        <f t="shared" si="4"/>
        <v>100000</v>
      </c>
      <c r="AD52" t="b" cm="1">
        <f t="array" ref="AD52">OR(NOT(ISBLANK(Y52:AB52)))</f>
        <v>0</v>
      </c>
      <c r="AE52" t="b">
        <f t="shared" si="1"/>
        <v>0</v>
      </c>
      <c r="AF52" t="b">
        <f t="shared" si="2"/>
        <v>0</v>
      </c>
      <c r="AG52" t="b">
        <f t="shared" si="3"/>
        <v>1</v>
      </c>
    </row>
    <row r="53" spans="1:33" hidden="1" x14ac:dyDescent="0.25">
      <c r="A53" t="s">
        <v>69</v>
      </c>
      <c r="B53">
        <v>59</v>
      </c>
      <c r="C53">
        <v>0</v>
      </c>
      <c r="D53">
        <v>5702</v>
      </c>
      <c r="E53">
        <v>5872</v>
      </c>
      <c r="F53">
        <v>21897</v>
      </c>
      <c r="G53">
        <v>22382</v>
      </c>
      <c r="H53">
        <v>22375</v>
      </c>
      <c r="I53">
        <v>21713</v>
      </c>
      <c r="J53">
        <v>59</v>
      </c>
      <c r="L53">
        <v>44088</v>
      </c>
      <c r="M53">
        <v>43610</v>
      </c>
      <c r="N53" s="1">
        <v>0.49891927982165291</v>
      </c>
      <c r="O53" s="1">
        <v>0.49351002070908823</v>
      </c>
      <c r="P53" s="1">
        <v>0.11574</v>
      </c>
      <c r="Q53">
        <v>0.52053401276585454</v>
      </c>
      <c r="R53">
        <v>1.140856578754592E-4</v>
      </c>
      <c r="S53" t="b">
        <v>1</v>
      </c>
      <c r="T53" t="b">
        <v>0</v>
      </c>
      <c r="V53" s="3"/>
      <c r="X53" s="4">
        <f t="shared" si="4"/>
        <v>100000</v>
      </c>
      <c r="AD53" t="b" cm="1">
        <f t="array" ref="AD53">OR(NOT(ISBLANK(Y53:AB53)))</f>
        <v>0</v>
      </c>
      <c r="AE53" t="b">
        <f t="shared" si="1"/>
        <v>1</v>
      </c>
      <c r="AF53" t="b">
        <f t="shared" si="2"/>
        <v>0</v>
      </c>
      <c r="AG53" t="b">
        <f t="shared" si="3"/>
        <v>0</v>
      </c>
    </row>
    <row r="54" spans="1:33" hidden="1" x14ac:dyDescent="0.25">
      <c r="A54" t="s">
        <v>70</v>
      </c>
      <c r="B54">
        <v>0</v>
      </c>
      <c r="C54">
        <v>0</v>
      </c>
      <c r="D54">
        <v>0</v>
      </c>
      <c r="E54">
        <v>0</v>
      </c>
      <c r="F54">
        <v>15117</v>
      </c>
      <c r="G54">
        <v>15041</v>
      </c>
      <c r="H54">
        <v>14883</v>
      </c>
      <c r="I54">
        <v>14959</v>
      </c>
      <c r="J54">
        <f t="shared" si="5"/>
        <v>0</v>
      </c>
      <c r="L54">
        <v>29842</v>
      </c>
      <c r="M54">
        <v>30076</v>
      </c>
      <c r="N54" s="1">
        <v>0.49736666666666668</v>
      </c>
      <c r="O54" s="1">
        <v>0.50126666666666664</v>
      </c>
      <c r="P54" s="1">
        <v>0</v>
      </c>
      <c r="Q54">
        <v>0.19702823036467682</v>
      </c>
      <c r="R54">
        <v>0.53490403797895891</v>
      </c>
      <c r="S54" t="b">
        <v>1</v>
      </c>
      <c r="T54" t="b">
        <v>1</v>
      </c>
      <c r="V54" s="3"/>
      <c r="X54" s="4">
        <f t="shared" si="4"/>
        <v>60000</v>
      </c>
      <c r="AD54" t="b" cm="1">
        <f t="array" ref="AD54">OR(NOT(ISBLANK(Y54:AB54)))</f>
        <v>0</v>
      </c>
      <c r="AE54" t="b">
        <f t="shared" si="1"/>
        <v>0</v>
      </c>
      <c r="AF54" t="b">
        <f t="shared" si="2"/>
        <v>0</v>
      </c>
      <c r="AG54" t="b">
        <f t="shared" si="3"/>
        <v>0</v>
      </c>
    </row>
    <row r="55" spans="1:33" hidden="1" x14ac:dyDescent="0.25">
      <c r="A55" t="s">
        <v>71</v>
      </c>
      <c r="B55">
        <v>36</v>
      </c>
      <c r="C55">
        <v>0</v>
      </c>
      <c r="D55">
        <v>0</v>
      </c>
      <c r="E55">
        <v>0</v>
      </c>
      <c r="F55">
        <v>5001</v>
      </c>
      <c r="G55">
        <v>4988</v>
      </c>
      <c r="H55">
        <v>4986</v>
      </c>
      <c r="I55">
        <v>4989</v>
      </c>
      <c r="J55">
        <f t="shared" si="5"/>
        <v>36</v>
      </c>
      <c r="L55">
        <v>9975</v>
      </c>
      <c r="M55">
        <v>9990</v>
      </c>
      <c r="N55" s="1">
        <v>0.499649368863955</v>
      </c>
      <c r="O55" s="1">
        <v>0.50040072129833701</v>
      </c>
      <c r="P55" s="1">
        <v>0</v>
      </c>
      <c r="Q55">
        <v>0.92107144449008804</v>
      </c>
      <c r="R55">
        <v>0.90984104047964398</v>
      </c>
      <c r="S55" t="b">
        <v>1</v>
      </c>
      <c r="T55" t="b">
        <v>1</v>
      </c>
      <c r="V55" s="3"/>
      <c r="X55" s="4">
        <f t="shared" si="4"/>
        <v>20000</v>
      </c>
      <c r="AD55" t="b" cm="1">
        <f t="array" ref="AD55">OR(NOT(ISBLANK(Y55:AB55)))</f>
        <v>0</v>
      </c>
      <c r="AE55" t="b">
        <f t="shared" si="1"/>
        <v>0</v>
      </c>
      <c r="AF55" t="b">
        <f t="shared" si="2"/>
        <v>0</v>
      </c>
      <c r="AG55" t="b">
        <f t="shared" si="3"/>
        <v>0</v>
      </c>
    </row>
    <row r="56" spans="1:33" hidden="1" x14ac:dyDescent="0.25">
      <c r="A56" t="s">
        <v>72</v>
      </c>
      <c r="B56">
        <v>4520</v>
      </c>
      <c r="C56">
        <v>0</v>
      </c>
      <c r="D56">
        <v>4209</v>
      </c>
      <c r="E56">
        <v>4413</v>
      </c>
      <c r="F56">
        <v>32711</v>
      </c>
      <c r="G56">
        <v>30924</v>
      </c>
      <c r="H56">
        <v>30812</v>
      </c>
      <c r="I56">
        <v>32411</v>
      </c>
      <c r="J56">
        <v>4520</v>
      </c>
      <c r="K56">
        <v>0</v>
      </c>
      <c r="L56">
        <v>63223</v>
      </c>
      <c r="M56">
        <v>65122</v>
      </c>
      <c r="N56" s="1">
        <v>0.49837613709817274</v>
      </c>
      <c r="O56" s="1">
        <v>0.51334563054754134</v>
      </c>
      <c r="P56" s="1">
        <v>6.1585714285714285E-2</v>
      </c>
      <c r="Q56">
        <v>0.24737584560727413</v>
      </c>
      <c r="R56">
        <v>1.9687987364014118E-21</v>
      </c>
      <c r="S56" t="b">
        <v>1</v>
      </c>
      <c r="T56" t="b">
        <v>0</v>
      </c>
      <c r="V56" s="3"/>
      <c r="X56" s="4">
        <f t="shared" si="4"/>
        <v>140000</v>
      </c>
      <c r="AD56" t="b" cm="1">
        <f t="array" ref="AD56">OR(NOT(ISBLANK(Y56:AB56)))</f>
        <v>0</v>
      </c>
      <c r="AE56" t="b">
        <f t="shared" si="1"/>
        <v>0</v>
      </c>
      <c r="AF56" t="b">
        <f t="shared" si="2"/>
        <v>0</v>
      </c>
      <c r="AG56" t="b">
        <f t="shared" si="3"/>
        <v>0</v>
      </c>
    </row>
    <row r="57" spans="1:33" hidden="1" x14ac:dyDescent="0.25">
      <c r="A57" t="s">
        <v>73</v>
      </c>
      <c r="B57">
        <v>1</v>
      </c>
      <c r="C57">
        <v>777</v>
      </c>
      <c r="D57">
        <v>160</v>
      </c>
      <c r="E57">
        <v>156</v>
      </c>
      <c r="F57">
        <v>4476</v>
      </c>
      <c r="G57">
        <v>5024</v>
      </c>
      <c r="H57">
        <v>5003</v>
      </c>
      <c r="I57">
        <v>4403</v>
      </c>
      <c r="J57">
        <f t="shared" si="5"/>
        <v>778</v>
      </c>
      <c r="L57">
        <v>9406</v>
      </c>
      <c r="M57">
        <v>8879</v>
      </c>
      <c r="N57" s="1">
        <v>0.49751401671426998</v>
      </c>
      <c r="O57" s="1">
        <v>0.46963926795726202</v>
      </c>
      <c r="P57" s="1">
        <v>1.5800000000000002E-2</v>
      </c>
      <c r="Q57">
        <v>0.49420196159283197</v>
      </c>
      <c r="R57">
        <v>6.8758237053929804E-17</v>
      </c>
      <c r="S57" t="b">
        <v>1</v>
      </c>
      <c r="T57" t="b">
        <v>0</v>
      </c>
      <c r="V57" s="3"/>
      <c r="X57" s="4">
        <f t="shared" si="4"/>
        <v>20000</v>
      </c>
      <c r="AD57" t="b" cm="1">
        <f t="array" ref="AD57">OR(NOT(ISBLANK(Y57:AB57)))</f>
        <v>0</v>
      </c>
      <c r="AE57" t="b">
        <f t="shared" si="1"/>
        <v>0</v>
      </c>
      <c r="AF57" t="b">
        <f t="shared" si="2"/>
        <v>0</v>
      </c>
      <c r="AG57" t="b">
        <f t="shared" si="3"/>
        <v>0</v>
      </c>
    </row>
    <row r="58" spans="1:33" hidden="1" x14ac:dyDescent="0.25">
      <c r="A58" t="s">
        <v>74</v>
      </c>
      <c r="B58">
        <v>0</v>
      </c>
      <c r="C58">
        <v>0</v>
      </c>
      <c r="D58">
        <v>16</v>
      </c>
      <c r="E58">
        <v>12</v>
      </c>
      <c r="F58">
        <v>4784</v>
      </c>
      <c r="G58">
        <v>5285</v>
      </c>
      <c r="H58">
        <v>5200</v>
      </c>
      <c r="I58">
        <v>4703</v>
      </c>
      <c r="J58">
        <f t="shared" si="5"/>
        <v>0</v>
      </c>
      <c r="L58">
        <v>9903</v>
      </c>
      <c r="M58">
        <v>9487</v>
      </c>
      <c r="N58" s="1">
        <v>0.495844181854596</v>
      </c>
      <c r="O58" s="1">
        <v>0.47501502102944099</v>
      </c>
      <c r="P58" s="1">
        <v>1.4E-3</v>
      </c>
      <c r="Q58">
        <v>0.24014686676490499</v>
      </c>
      <c r="R58">
        <v>1.6427579537113401E-12</v>
      </c>
      <c r="S58" t="b">
        <v>1</v>
      </c>
      <c r="T58" t="b">
        <v>0</v>
      </c>
      <c r="V58" s="3"/>
      <c r="X58" s="4">
        <f t="shared" si="4"/>
        <v>20000</v>
      </c>
      <c r="AD58" t="b" cm="1">
        <f t="array" ref="AD58">OR(NOT(ISBLANK(Y58:AB58)))</f>
        <v>0</v>
      </c>
      <c r="AE58" t="b">
        <f t="shared" si="1"/>
        <v>0</v>
      </c>
      <c r="AF58" t="b">
        <f t="shared" si="2"/>
        <v>0</v>
      </c>
      <c r="AG58" t="b">
        <f t="shared" si="3"/>
        <v>0</v>
      </c>
    </row>
    <row r="59" spans="1:33" hidden="1" x14ac:dyDescent="0.25">
      <c r="A59" t="s">
        <v>75</v>
      </c>
      <c r="B59">
        <v>0</v>
      </c>
      <c r="C59">
        <v>0</v>
      </c>
      <c r="D59">
        <v>5</v>
      </c>
      <c r="E59">
        <v>9</v>
      </c>
      <c r="F59">
        <v>5427</v>
      </c>
      <c r="G59">
        <v>4513</v>
      </c>
      <c r="H59">
        <v>4568</v>
      </c>
      <c r="I59">
        <v>5478</v>
      </c>
      <c r="J59">
        <f t="shared" si="5"/>
        <v>0</v>
      </c>
      <c r="L59">
        <v>10046</v>
      </c>
      <c r="M59">
        <v>10905</v>
      </c>
      <c r="N59" s="1">
        <v>0.50265185629940901</v>
      </c>
      <c r="O59" s="1">
        <v>0.54563194235965096</v>
      </c>
      <c r="P59" s="1">
        <v>6.9999999999999999E-4</v>
      </c>
      <c r="Q59">
        <v>0.45337778153531599</v>
      </c>
      <c r="R59">
        <v>4.3774492698360899E-38</v>
      </c>
      <c r="S59" t="b">
        <v>1</v>
      </c>
      <c r="T59" t="b">
        <v>0</v>
      </c>
      <c r="V59" s="3"/>
      <c r="X59" s="4">
        <f t="shared" si="4"/>
        <v>20000</v>
      </c>
      <c r="AD59" t="b" cm="1">
        <f t="array" ref="AD59">OR(NOT(ISBLANK(Y59:AB59)))</f>
        <v>0</v>
      </c>
      <c r="AE59" t="b">
        <f t="shared" si="1"/>
        <v>0</v>
      </c>
      <c r="AF59" t="b">
        <f t="shared" si="2"/>
        <v>0</v>
      </c>
      <c r="AG59" t="b">
        <f t="shared" si="3"/>
        <v>0</v>
      </c>
    </row>
    <row r="60" spans="1:33" hidden="1" x14ac:dyDescent="0.25">
      <c r="A60" t="s">
        <v>76</v>
      </c>
      <c r="B60">
        <v>27</v>
      </c>
      <c r="C60">
        <v>0</v>
      </c>
      <c r="D60">
        <v>0</v>
      </c>
      <c r="E60">
        <v>0</v>
      </c>
      <c r="F60">
        <v>5005</v>
      </c>
      <c r="G60">
        <v>4989</v>
      </c>
      <c r="H60">
        <v>4985</v>
      </c>
      <c r="I60">
        <v>4994</v>
      </c>
      <c r="J60">
        <f t="shared" si="5"/>
        <v>27</v>
      </c>
      <c r="L60">
        <v>9979</v>
      </c>
      <c r="M60">
        <v>9999</v>
      </c>
      <c r="N60" s="1">
        <v>0.499624493065638</v>
      </c>
      <c r="O60" s="1">
        <v>0.50062584489060202</v>
      </c>
      <c r="P60" s="1">
        <v>0</v>
      </c>
      <c r="Q60">
        <v>0.91547311224056704</v>
      </c>
      <c r="R60">
        <v>0.85958997023535999</v>
      </c>
      <c r="S60" t="b">
        <v>1</v>
      </c>
      <c r="T60" t="b">
        <v>1</v>
      </c>
      <c r="V60" s="3"/>
      <c r="X60" s="4">
        <f t="shared" si="4"/>
        <v>20000</v>
      </c>
      <c r="AD60" t="b" cm="1">
        <f t="array" ref="AD60">OR(NOT(ISBLANK(Y60:AB60)))</f>
        <v>0</v>
      </c>
      <c r="AE60" t="b">
        <f t="shared" si="1"/>
        <v>0</v>
      </c>
      <c r="AF60" t="b">
        <f t="shared" si="2"/>
        <v>0</v>
      </c>
      <c r="AG60" t="b">
        <f t="shared" si="3"/>
        <v>0</v>
      </c>
    </row>
    <row r="61" spans="1:33" hidden="1" x14ac:dyDescent="0.25">
      <c r="A61" t="s">
        <v>77</v>
      </c>
      <c r="B61">
        <v>50</v>
      </c>
      <c r="C61">
        <v>0</v>
      </c>
      <c r="D61">
        <v>1672</v>
      </c>
      <c r="E61">
        <v>1725</v>
      </c>
      <c r="F61">
        <v>14321</v>
      </c>
      <c r="G61">
        <v>13857</v>
      </c>
      <c r="H61">
        <v>13981</v>
      </c>
      <c r="I61">
        <v>14394</v>
      </c>
      <c r="J61">
        <f t="shared" si="5"/>
        <v>50</v>
      </c>
      <c r="L61">
        <v>28375</v>
      </c>
      <c r="M61">
        <v>28715</v>
      </c>
      <c r="N61" s="1">
        <v>0.50174172899757752</v>
      </c>
      <c r="O61" s="1">
        <v>0.50775378848160135</v>
      </c>
      <c r="P61" s="1">
        <v>5.6616666666666669E-2</v>
      </c>
      <c r="Q61">
        <v>0.40744582954295877</v>
      </c>
      <c r="R61">
        <v>2.2616805641301313E-4</v>
      </c>
      <c r="S61" t="b">
        <v>1</v>
      </c>
      <c r="T61" t="b">
        <v>0</v>
      </c>
      <c r="V61" s="3"/>
      <c r="X61" s="4">
        <f t="shared" si="4"/>
        <v>60000</v>
      </c>
      <c r="AD61" t="b" cm="1">
        <f t="array" ref="AD61">OR(NOT(ISBLANK(Y61:AB61)))</f>
        <v>0</v>
      </c>
      <c r="AE61" t="b">
        <f t="shared" si="1"/>
        <v>0</v>
      </c>
      <c r="AF61" t="b">
        <f t="shared" si="2"/>
        <v>0</v>
      </c>
      <c r="AG61" t="b">
        <f t="shared" si="3"/>
        <v>0</v>
      </c>
    </row>
    <row r="62" spans="1:33" hidden="1" x14ac:dyDescent="0.25">
      <c r="A62" t="s">
        <v>78</v>
      </c>
      <c r="B62">
        <v>0</v>
      </c>
      <c r="C62">
        <v>0</v>
      </c>
      <c r="D62">
        <v>1489</v>
      </c>
      <c r="E62">
        <v>1486</v>
      </c>
      <c r="F62">
        <v>15664</v>
      </c>
      <c r="G62">
        <v>12767</v>
      </c>
      <c r="H62">
        <v>12847</v>
      </c>
      <c r="I62">
        <v>15747</v>
      </c>
      <c r="J62">
        <f t="shared" si="5"/>
        <v>0</v>
      </c>
      <c r="L62">
        <v>28594</v>
      </c>
      <c r="M62">
        <v>31411</v>
      </c>
      <c r="N62" s="1">
        <v>0.50142919772029815</v>
      </c>
      <c r="O62" s="1">
        <v>0.55082858395440593</v>
      </c>
      <c r="P62" s="1">
        <v>4.9583333333333333E-2</v>
      </c>
      <c r="Q62">
        <v>0.49487088628628328</v>
      </c>
      <c r="R62">
        <v>3.545951339067189E-130</v>
      </c>
      <c r="S62" t="b">
        <v>1</v>
      </c>
      <c r="T62" t="b">
        <v>0</v>
      </c>
      <c r="V62" s="3"/>
      <c r="X62" s="4">
        <f t="shared" si="4"/>
        <v>60000</v>
      </c>
      <c r="AD62" t="b" cm="1">
        <f t="array" ref="AD62">OR(NOT(ISBLANK(Y62:AB62)))</f>
        <v>0</v>
      </c>
      <c r="AE62" t="b">
        <f t="shared" si="1"/>
        <v>0</v>
      </c>
      <c r="AF62" t="b">
        <f t="shared" si="2"/>
        <v>0</v>
      </c>
      <c r="AG62" t="b">
        <f t="shared" si="3"/>
        <v>0</v>
      </c>
    </row>
    <row r="63" spans="1:33" hidden="1" x14ac:dyDescent="0.25">
      <c r="A63" t="s">
        <v>79</v>
      </c>
      <c r="B63">
        <v>8</v>
      </c>
      <c r="C63">
        <v>703</v>
      </c>
      <c r="D63">
        <v>216</v>
      </c>
      <c r="E63">
        <v>246</v>
      </c>
      <c r="F63">
        <v>4662</v>
      </c>
      <c r="G63">
        <v>4658</v>
      </c>
      <c r="H63">
        <v>4761</v>
      </c>
      <c r="I63">
        <v>4746</v>
      </c>
      <c r="J63">
        <f t="shared" si="5"/>
        <v>711</v>
      </c>
      <c r="L63">
        <v>9507</v>
      </c>
      <c r="M63">
        <v>9408</v>
      </c>
      <c r="N63" s="1">
        <v>0.50496627184362797</v>
      </c>
      <c r="O63" s="1">
        <v>0.49970786636213899</v>
      </c>
      <c r="P63" s="1">
        <v>2.3099999999999999E-2</v>
      </c>
      <c r="Q63">
        <v>0.17292683494181399</v>
      </c>
      <c r="R63">
        <v>0.93610348273785904</v>
      </c>
      <c r="S63" t="b">
        <v>1</v>
      </c>
      <c r="T63" t="b">
        <v>1</v>
      </c>
      <c r="V63" s="3"/>
      <c r="X63" s="4">
        <f t="shared" si="4"/>
        <v>20000</v>
      </c>
      <c r="AD63" t="b" cm="1">
        <f t="array" ref="AD63">OR(NOT(ISBLANK(Y63:AB63)))</f>
        <v>0</v>
      </c>
      <c r="AE63" t="b">
        <f t="shared" si="1"/>
        <v>0</v>
      </c>
      <c r="AF63" t="b">
        <f t="shared" si="2"/>
        <v>0</v>
      </c>
      <c r="AG63" t="b">
        <f t="shared" si="3"/>
        <v>0</v>
      </c>
    </row>
    <row r="64" spans="1:33" hidden="1" x14ac:dyDescent="0.25">
      <c r="A64" t="s">
        <v>80</v>
      </c>
      <c r="B64">
        <v>0</v>
      </c>
      <c r="C64">
        <v>0</v>
      </c>
      <c r="D64">
        <v>1886</v>
      </c>
      <c r="E64">
        <v>1899</v>
      </c>
      <c r="F64">
        <v>14529</v>
      </c>
      <c r="G64">
        <v>13649</v>
      </c>
      <c r="H64">
        <v>13585</v>
      </c>
      <c r="I64">
        <v>14452</v>
      </c>
      <c r="J64">
        <f t="shared" si="5"/>
        <v>0</v>
      </c>
      <c r="L64">
        <v>28037</v>
      </c>
      <c r="M64">
        <v>28981</v>
      </c>
      <c r="N64" s="1">
        <v>0.49874588632927153</v>
      </c>
      <c r="O64" s="1">
        <v>0.51553855732455756</v>
      </c>
      <c r="P64" s="1">
        <v>6.3083333333333338E-2</v>
      </c>
      <c r="Q64">
        <v>0.55204853827181632</v>
      </c>
      <c r="R64">
        <v>1.7282859478007955E-13</v>
      </c>
      <c r="S64" t="b">
        <v>1</v>
      </c>
      <c r="T64" t="b">
        <v>0</v>
      </c>
      <c r="V64" s="3"/>
      <c r="X64" s="4">
        <f t="shared" si="4"/>
        <v>60000</v>
      </c>
      <c r="AD64" t="b" cm="1">
        <f t="array" ref="AD64">OR(NOT(ISBLANK(Y64:AB64)))</f>
        <v>0</v>
      </c>
      <c r="AE64" t="b">
        <f t="shared" si="1"/>
        <v>0</v>
      </c>
      <c r="AF64" t="b">
        <f t="shared" si="2"/>
        <v>0</v>
      </c>
      <c r="AG64" t="b">
        <f t="shared" si="3"/>
        <v>0</v>
      </c>
    </row>
    <row r="65" spans="1:33" hidden="1" x14ac:dyDescent="0.25">
      <c r="A65" t="s">
        <v>81</v>
      </c>
      <c r="B65">
        <v>1710</v>
      </c>
      <c r="C65">
        <v>1871</v>
      </c>
      <c r="D65">
        <v>1062</v>
      </c>
      <c r="E65">
        <v>1077</v>
      </c>
      <c r="F65">
        <v>13332</v>
      </c>
      <c r="G65">
        <v>13842</v>
      </c>
      <c r="H65">
        <v>13875</v>
      </c>
      <c r="I65">
        <v>13231</v>
      </c>
      <c r="J65">
        <f t="shared" si="5"/>
        <v>3581</v>
      </c>
      <c r="L65">
        <v>27106</v>
      </c>
      <c r="M65">
        <v>26563</v>
      </c>
      <c r="N65" s="1">
        <v>0.49937361827560794</v>
      </c>
      <c r="O65" s="1">
        <v>0.4893699336772292</v>
      </c>
      <c r="P65" s="1">
        <v>3.5650000000000001E-2</v>
      </c>
      <c r="Q65">
        <v>0.77038626067417493</v>
      </c>
      <c r="R65">
        <v>7.3002765093171256E-7</v>
      </c>
      <c r="S65" t="b">
        <v>1</v>
      </c>
      <c r="T65" t="b">
        <v>0</v>
      </c>
      <c r="V65" s="3"/>
      <c r="X65" s="4">
        <f t="shared" si="4"/>
        <v>60000</v>
      </c>
      <c r="AD65" t="b" cm="1">
        <f t="array" ref="AD65">OR(NOT(ISBLANK(Y65:AB65)))</f>
        <v>0</v>
      </c>
      <c r="AE65" t="b">
        <f t="shared" si="1"/>
        <v>0</v>
      </c>
      <c r="AF65" t="b">
        <f t="shared" si="2"/>
        <v>0</v>
      </c>
      <c r="AG65" t="b">
        <f t="shared" si="3"/>
        <v>0</v>
      </c>
    </row>
    <row r="66" spans="1:33" hidden="1" x14ac:dyDescent="0.25">
      <c r="A66" t="s">
        <v>82</v>
      </c>
      <c r="B66">
        <v>0</v>
      </c>
      <c r="C66">
        <v>0</v>
      </c>
      <c r="D66">
        <v>15</v>
      </c>
      <c r="E66">
        <v>27</v>
      </c>
      <c r="F66">
        <v>4875</v>
      </c>
      <c r="G66">
        <v>5187</v>
      </c>
      <c r="H66">
        <v>5110</v>
      </c>
      <c r="I66">
        <v>4786</v>
      </c>
      <c r="J66">
        <f t="shared" si="5"/>
        <v>0</v>
      </c>
      <c r="L66">
        <v>9896</v>
      </c>
      <c r="M66">
        <v>9661</v>
      </c>
      <c r="N66" s="1">
        <v>0.49584126665998501</v>
      </c>
      <c r="O66" s="1">
        <v>0.48406653973343999</v>
      </c>
      <c r="P66" s="1">
        <v>2.0999999999999999E-3</v>
      </c>
      <c r="Q66">
        <v>0.23998203828113901</v>
      </c>
      <c r="R66">
        <v>6.7339593655014301E-6</v>
      </c>
      <c r="S66" t="b">
        <v>1</v>
      </c>
      <c r="T66" t="b">
        <v>0</v>
      </c>
      <c r="V66" s="3"/>
      <c r="X66" s="4">
        <f t="shared" ref="X66:X97" si="6">SUM(B66:I66)</f>
        <v>20000</v>
      </c>
      <c r="Z66" s="5" t="s">
        <v>160</v>
      </c>
      <c r="AD66" t="b" cm="1">
        <f t="array" ref="AD66">OR(NOT(ISBLANK(Y66:AB66)))</f>
        <v>1</v>
      </c>
      <c r="AE66" t="b">
        <f t="shared" si="1"/>
        <v>0</v>
      </c>
      <c r="AF66" t="b">
        <f t="shared" si="2"/>
        <v>0</v>
      </c>
      <c r="AG66" t="b">
        <f t="shared" si="3"/>
        <v>0</v>
      </c>
    </row>
    <row r="67" spans="1:33" hidden="1" x14ac:dyDescent="0.25">
      <c r="A67" t="s">
        <v>83</v>
      </c>
      <c r="B67">
        <v>307</v>
      </c>
      <c r="C67">
        <v>0</v>
      </c>
      <c r="D67">
        <v>1588</v>
      </c>
      <c r="E67">
        <v>1564</v>
      </c>
      <c r="F67">
        <v>13858</v>
      </c>
      <c r="G67">
        <v>14474</v>
      </c>
      <c r="H67">
        <v>14414</v>
      </c>
      <c r="I67">
        <v>13795</v>
      </c>
      <c r="J67">
        <f t="shared" si="5"/>
        <v>307</v>
      </c>
      <c r="L67">
        <v>28209</v>
      </c>
      <c r="M67">
        <v>27653</v>
      </c>
      <c r="N67" s="1">
        <v>0.49891229373375073</v>
      </c>
      <c r="O67" s="1">
        <v>0.48907872163562727</v>
      </c>
      <c r="P67" s="1">
        <v>5.2533333333333335E-2</v>
      </c>
      <c r="Q67">
        <v>0.6049626407891262</v>
      </c>
      <c r="R67">
        <v>2.0604458196694426E-7</v>
      </c>
      <c r="S67" t="b">
        <v>1</v>
      </c>
      <c r="T67" t="b">
        <v>0</v>
      </c>
      <c r="V67" s="3"/>
      <c r="X67" s="4">
        <f t="shared" si="6"/>
        <v>60000</v>
      </c>
      <c r="AD67" t="b" cm="1">
        <f t="array" ref="AD67">OR(NOT(ISBLANK(Y67:AB67)))</f>
        <v>0</v>
      </c>
      <c r="AE67" t="b">
        <f t="shared" ref="AE67:AE130" si="7">OR(NOT(S67),P67&gt;0.1,O67&gt;0.6, O67&lt;0.4,L67&lt;8000,(C67/X67)&gt;0.05, (B67/X67)&gt;0.05)</f>
        <v>0</v>
      </c>
      <c r="AF67" t="b">
        <f t="shared" ref="AF67:AF130" si="8">OR(NOT(S67),L67&lt;8000,(C67/X67)&gt;0.05, (B67/X67)&gt;0.05)</f>
        <v>0</v>
      </c>
      <c r="AG67" t="b">
        <f t="shared" ref="AG67:AG130" si="9">OR(AND(Q67&lt;=0.15, Q67&gt;0.001), AND(R67&lt;=0.15, R67&gt;0.001))</f>
        <v>0</v>
      </c>
    </row>
    <row r="68" spans="1:33" hidden="1" x14ac:dyDescent="0.25">
      <c r="A68" t="s">
        <v>84</v>
      </c>
      <c r="B68">
        <v>0</v>
      </c>
      <c r="C68">
        <v>206</v>
      </c>
      <c r="D68">
        <v>0</v>
      </c>
      <c r="E68">
        <v>0</v>
      </c>
      <c r="F68">
        <v>5144</v>
      </c>
      <c r="G68">
        <v>4802</v>
      </c>
      <c r="H68">
        <v>4754</v>
      </c>
      <c r="I68">
        <v>5094</v>
      </c>
      <c r="J68">
        <f t="shared" si="5"/>
        <v>206</v>
      </c>
      <c r="L68">
        <v>9848</v>
      </c>
      <c r="M68">
        <v>10238</v>
      </c>
      <c r="N68" s="1">
        <v>0.497524502374456</v>
      </c>
      <c r="O68" s="1">
        <v>0.51722744265939102</v>
      </c>
      <c r="P68" s="1">
        <v>0</v>
      </c>
      <c r="Q68">
        <v>0.48607743154205102</v>
      </c>
      <c r="R68">
        <v>1.2502862228475E-6</v>
      </c>
      <c r="S68" t="b">
        <v>1</v>
      </c>
      <c r="T68" t="b">
        <v>0</v>
      </c>
      <c r="V68" s="3"/>
      <c r="X68" s="4">
        <f t="shared" si="6"/>
        <v>20000</v>
      </c>
      <c r="AD68" t="b" cm="1">
        <f t="array" ref="AD68">OR(NOT(ISBLANK(Y68:AB68)))</f>
        <v>0</v>
      </c>
      <c r="AE68" t="b">
        <f t="shared" si="7"/>
        <v>0</v>
      </c>
      <c r="AF68" t="b">
        <f t="shared" si="8"/>
        <v>0</v>
      </c>
      <c r="AG68" t="b">
        <f t="shared" si="9"/>
        <v>0</v>
      </c>
    </row>
    <row r="69" spans="1:33" hidden="1" x14ac:dyDescent="0.25">
      <c r="A69" t="s">
        <v>85</v>
      </c>
      <c r="B69">
        <v>2481</v>
      </c>
      <c r="C69">
        <v>0</v>
      </c>
      <c r="D69">
        <v>21</v>
      </c>
      <c r="E69">
        <v>13</v>
      </c>
      <c r="F69">
        <v>19233</v>
      </c>
      <c r="G69">
        <v>19644</v>
      </c>
      <c r="H69">
        <v>19523</v>
      </c>
      <c r="I69">
        <v>19085</v>
      </c>
      <c r="J69">
        <v>2481</v>
      </c>
      <c r="K69">
        <v>0</v>
      </c>
      <c r="L69">
        <v>38608</v>
      </c>
      <c r="M69">
        <v>38318</v>
      </c>
      <c r="N69" s="1">
        <v>0.49826418016390267</v>
      </c>
      <c r="O69" s="1">
        <v>0.49452152029425051</v>
      </c>
      <c r="P69" s="1">
        <v>4.2499999999999998E-4</v>
      </c>
      <c r="Q69">
        <v>0.33385904560222601</v>
      </c>
      <c r="R69">
        <v>2.2884654499693768E-3</v>
      </c>
      <c r="S69" t="b">
        <v>1</v>
      </c>
      <c r="T69" t="b">
        <v>0</v>
      </c>
      <c r="V69" s="3"/>
      <c r="X69" s="4">
        <f t="shared" si="6"/>
        <v>80000</v>
      </c>
      <c r="Y69" s="5" t="s">
        <v>179</v>
      </c>
      <c r="AD69" t="b" cm="1">
        <f t="array" ref="AD69">OR(NOT(ISBLANK(Y69:AB69)))</f>
        <v>1</v>
      </c>
      <c r="AE69" t="b">
        <f t="shared" si="7"/>
        <v>0</v>
      </c>
      <c r="AF69" t="b">
        <f t="shared" si="8"/>
        <v>0</v>
      </c>
      <c r="AG69" t="b">
        <f t="shared" si="9"/>
        <v>1</v>
      </c>
    </row>
    <row r="70" spans="1:33" hidden="1" x14ac:dyDescent="0.25">
      <c r="A70" t="s">
        <v>86</v>
      </c>
      <c r="B70">
        <v>665</v>
      </c>
      <c r="C70">
        <v>0</v>
      </c>
      <c r="D70">
        <v>19</v>
      </c>
      <c r="E70">
        <v>24</v>
      </c>
      <c r="F70">
        <v>20080</v>
      </c>
      <c r="G70">
        <v>19731</v>
      </c>
      <c r="H70">
        <v>19586</v>
      </c>
      <c r="I70">
        <v>19895</v>
      </c>
      <c r="J70">
        <v>665</v>
      </c>
      <c r="K70">
        <v>6090</v>
      </c>
      <c r="L70">
        <v>39481</v>
      </c>
      <c r="M70">
        <v>39975</v>
      </c>
      <c r="N70" s="1">
        <v>0.49791908389244816</v>
      </c>
      <c r="O70" s="1">
        <v>0.50414922060233058</v>
      </c>
      <c r="P70" s="1">
        <v>5.375E-4</v>
      </c>
      <c r="Q70">
        <v>0.24122778126987068</v>
      </c>
      <c r="R70">
        <v>1.9452479268376777E-2</v>
      </c>
      <c r="S70" t="b">
        <v>1</v>
      </c>
      <c r="T70" t="b">
        <v>0</v>
      </c>
      <c r="V70" s="3"/>
      <c r="X70" s="4">
        <f t="shared" si="6"/>
        <v>80000</v>
      </c>
      <c r="Y70" s="5" t="s">
        <v>179</v>
      </c>
      <c r="AD70" t="b" cm="1">
        <f t="array" ref="AD70">OR(NOT(ISBLANK(Y70:AB70)))</f>
        <v>1</v>
      </c>
      <c r="AE70" t="b">
        <f t="shared" si="7"/>
        <v>0</v>
      </c>
      <c r="AF70" t="b">
        <f t="shared" si="8"/>
        <v>0</v>
      </c>
      <c r="AG70" t="b">
        <f t="shared" si="9"/>
        <v>1</v>
      </c>
    </row>
    <row r="71" spans="1:33" hidden="1" x14ac:dyDescent="0.25">
      <c r="A71" t="s">
        <v>87</v>
      </c>
      <c r="B71">
        <v>157</v>
      </c>
      <c r="C71">
        <v>0</v>
      </c>
      <c r="D71">
        <v>3</v>
      </c>
      <c r="E71">
        <v>1</v>
      </c>
      <c r="F71">
        <v>10003</v>
      </c>
      <c r="G71">
        <v>9928</v>
      </c>
      <c r="H71">
        <v>9911</v>
      </c>
      <c r="I71">
        <v>9997</v>
      </c>
      <c r="J71">
        <v>157</v>
      </c>
      <c r="K71">
        <v>318</v>
      </c>
      <c r="L71">
        <v>19908</v>
      </c>
      <c r="M71">
        <v>20000</v>
      </c>
      <c r="N71" s="1">
        <v>0.499711338135997</v>
      </c>
      <c r="O71" s="1">
        <v>0.50202063304801803</v>
      </c>
      <c r="P71" s="1">
        <v>1E-4</v>
      </c>
      <c r="Q71">
        <v>0.90826112549898796</v>
      </c>
      <c r="R71">
        <v>0.41988258347053697</v>
      </c>
      <c r="S71" t="b">
        <v>1</v>
      </c>
      <c r="T71" t="b">
        <v>1</v>
      </c>
      <c r="V71" s="3"/>
      <c r="X71" s="4">
        <f t="shared" si="6"/>
        <v>40000</v>
      </c>
      <c r="Y71" s="5" t="s">
        <v>167</v>
      </c>
      <c r="AD71" t="b" cm="1">
        <f t="array" ref="AD71">OR(NOT(ISBLANK(Y71:AB71)))</f>
        <v>1</v>
      </c>
      <c r="AE71" t="b">
        <f t="shared" si="7"/>
        <v>0</v>
      </c>
      <c r="AF71" t="b">
        <f t="shared" si="8"/>
        <v>0</v>
      </c>
      <c r="AG71" t="b">
        <f t="shared" si="9"/>
        <v>0</v>
      </c>
    </row>
    <row r="72" spans="1:33" hidden="1" x14ac:dyDescent="0.25">
      <c r="A72" t="s">
        <v>88</v>
      </c>
      <c r="B72">
        <v>0</v>
      </c>
      <c r="C72">
        <v>49</v>
      </c>
      <c r="D72">
        <v>11</v>
      </c>
      <c r="E72">
        <v>10</v>
      </c>
      <c r="F72">
        <v>5601</v>
      </c>
      <c r="G72">
        <v>4385</v>
      </c>
      <c r="H72">
        <v>4360</v>
      </c>
      <c r="I72">
        <v>5584</v>
      </c>
      <c r="J72">
        <f t="shared" si="5"/>
        <v>49</v>
      </c>
      <c r="L72">
        <v>9944</v>
      </c>
      <c r="M72">
        <v>11185</v>
      </c>
      <c r="N72" s="1">
        <v>0.49894631209232299</v>
      </c>
      <c r="O72" s="1">
        <v>0.56121424987456003</v>
      </c>
      <c r="P72" s="1">
        <v>1.0499999999999999E-3</v>
      </c>
      <c r="Q72">
        <v>0.76608027384034605</v>
      </c>
      <c r="R72">
        <v>6.2436040097172497E-67</v>
      </c>
      <c r="S72" t="b">
        <v>1</v>
      </c>
      <c r="T72" t="b">
        <v>0</v>
      </c>
      <c r="V72" s="3"/>
      <c r="X72" s="4">
        <f t="shared" si="6"/>
        <v>20000</v>
      </c>
      <c r="AD72" t="b" cm="1">
        <f t="array" ref="AD72">OR(NOT(ISBLANK(Y72:AB72)))</f>
        <v>0</v>
      </c>
      <c r="AE72" t="b">
        <f t="shared" si="7"/>
        <v>0</v>
      </c>
      <c r="AF72" t="b">
        <f t="shared" si="8"/>
        <v>0</v>
      </c>
      <c r="AG72" t="b">
        <f t="shared" si="9"/>
        <v>0</v>
      </c>
    </row>
    <row r="73" spans="1:33" hidden="1" x14ac:dyDescent="0.25">
      <c r="A73" t="s">
        <v>89</v>
      </c>
      <c r="B73">
        <v>246</v>
      </c>
      <c r="C73">
        <v>0</v>
      </c>
      <c r="D73">
        <v>0</v>
      </c>
      <c r="E73">
        <v>0</v>
      </c>
      <c r="F73">
        <v>15215</v>
      </c>
      <c r="G73">
        <v>14772</v>
      </c>
      <c r="H73">
        <v>14661</v>
      </c>
      <c r="I73">
        <v>15106</v>
      </c>
      <c r="J73">
        <f t="shared" si="5"/>
        <v>246</v>
      </c>
      <c r="L73">
        <v>29767</v>
      </c>
      <c r="M73">
        <v>30321</v>
      </c>
      <c r="N73" s="1">
        <v>0.49815911905479132</v>
      </c>
      <c r="O73" s="1">
        <v>0.5074304649061151</v>
      </c>
      <c r="P73" s="1">
        <v>0</v>
      </c>
      <c r="Q73">
        <v>0.36812391208387074</v>
      </c>
      <c r="R73">
        <v>2.804715756967622E-4</v>
      </c>
      <c r="S73" t="b">
        <v>1</v>
      </c>
      <c r="T73" t="b">
        <v>0</v>
      </c>
      <c r="V73" s="3"/>
      <c r="X73" s="4">
        <f t="shared" si="6"/>
        <v>60000</v>
      </c>
      <c r="AD73" t="b" cm="1">
        <f t="array" ref="AD73">OR(NOT(ISBLANK(Y73:AB73)))</f>
        <v>0</v>
      </c>
      <c r="AE73" t="b">
        <f t="shared" si="7"/>
        <v>0</v>
      </c>
      <c r="AF73" t="b">
        <f t="shared" si="8"/>
        <v>0</v>
      </c>
      <c r="AG73" t="b">
        <f t="shared" si="9"/>
        <v>0</v>
      </c>
    </row>
    <row r="74" spans="1:33" hidden="1" x14ac:dyDescent="0.25">
      <c r="A74" t="s">
        <v>90</v>
      </c>
      <c r="B74">
        <v>46</v>
      </c>
      <c r="C74">
        <v>884</v>
      </c>
      <c r="D74">
        <v>724</v>
      </c>
      <c r="E74">
        <v>723</v>
      </c>
      <c r="F74">
        <v>4273</v>
      </c>
      <c r="G74">
        <v>4487</v>
      </c>
      <c r="H74">
        <v>4547</v>
      </c>
      <c r="I74">
        <v>4316</v>
      </c>
      <c r="J74">
        <f t="shared" si="5"/>
        <v>930</v>
      </c>
      <c r="L74">
        <v>8863</v>
      </c>
      <c r="M74">
        <v>8589</v>
      </c>
      <c r="N74" s="1">
        <v>0.50292231742609095</v>
      </c>
      <c r="O74" s="1">
        <v>0.48737445383873301</v>
      </c>
      <c r="P74" s="1">
        <v>7.2349999999999998E-2</v>
      </c>
      <c r="Q74">
        <v>0.43781694461994197</v>
      </c>
      <c r="R74">
        <v>8.0194058003625395E-4</v>
      </c>
      <c r="S74" t="b">
        <v>1</v>
      </c>
      <c r="T74" t="b">
        <v>0</v>
      </c>
      <c r="V74" s="3"/>
      <c r="X74" s="4">
        <f t="shared" si="6"/>
        <v>20000</v>
      </c>
      <c r="AD74" t="b" cm="1">
        <f t="array" ref="AD74">OR(NOT(ISBLANK(Y74:AB74)))</f>
        <v>0</v>
      </c>
      <c r="AE74" t="b">
        <f t="shared" si="7"/>
        <v>0</v>
      </c>
      <c r="AF74" t="b">
        <f t="shared" si="8"/>
        <v>0</v>
      </c>
      <c r="AG74" t="b">
        <f t="shared" si="9"/>
        <v>0</v>
      </c>
    </row>
    <row r="75" spans="1:33" hidden="1" x14ac:dyDescent="0.25">
      <c r="A75" t="s">
        <v>91</v>
      </c>
      <c r="B75">
        <v>0</v>
      </c>
      <c r="C75">
        <v>0</v>
      </c>
      <c r="D75">
        <v>274</v>
      </c>
      <c r="E75">
        <v>301</v>
      </c>
      <c r="F75">
        <v>4872</v>
      </c>
      <c r="G75">
        <v>4775</v>
      </c>
      <c r="H75">
        <v>4854</v>
      </c>
      <c r="I75">
        <v>4924</v>
      </c>
      <c r="J75">
        <f t="shared" si="5"/>
        <v>0</v>
      </c>
      <c r="L75">
        <v>9778</v>
      </c>
      <c r="M75">
        <v>9796</v>
      </c>
      <c r="N75" s="1">
        <v>0.50337194337194302</v>
      </c>
      <c r="O75" s="1">
        <v>0.50429858429858399</v>
      </c>
      <c r="P75" s="1">
        <v>2.8750000000000001E-2</v>
      </c>
      <c r="Q75">
        <v>0.34725871850219198</v>
      </c>
      <c r="R75">
        <v>0.23083203296320101</v>
      </c>
      <c r="S75" t="b">
        <v>1</v>
      </c>
      <c r="T75" t="b">
        <v>1</v>
      </c>
      <c r="V75" s="3"/>
      <c r="X75" s="4">
        <f t="shared" si="6"/>
        <v>20000</v>
      </c>
      <c r="AD75" t="b" cm="1">
        <f t="array" ref="AD75">OR(NOT(ISBLANK(Y75:AB75)))</f>
        <v>0</v>
      </c>
      <c r="AE75" t="b">
        <f t="shared" si="7"/>
        <v>0</v>
      </c>
      <c r="AF75" t="b">
        <f t="shared" si="8"/>
        <v>0</v>
      </c>
      <c r="AG75" t="b">
        <f t="shared" si="9"/>
        <v>0</v>
      </c>
    </row>
    <row r="76" spans="1:33" hidden="1" x14ac:dyDescent="0.25">
      <c r="A76" t="s">
        <v>92</v>
      </c>
      <c r="B76">
        <v>48</v>
      </c>
      <c r="C76">
        <v>0</v>
      </c>
      <c r="D76">
        <v>448</v>
      </c>
      <c r="E76">
        <v>464</v>
      </c>
      <c r="F76">
        <v>5880</v>
      </c>
      <c r="G76">
        <v>3667</v>
      </c>
      <c r="H76">
        <v>3643</v>
      </c>
      <c r="I76">
        <v>5850</v>
      </c>
      <c r="J76">
        <f t="shared" si="5"/>
        <v>48</v>
      </c>
      <c r="L76">
        <v>9493</v>
      </c>
      <c r="M76">
        <v>11730</v>
      </c>
      <c r="N76" s="1">
        <v>0.49858193277310903</v>
      </c>
      <c r="O76" s="1">
        <v>0.61607142857142805</v>
      </c>
      <c r="P76" s="1">
        <v>4.5600000000000002E-2</v>
      </c>
      <c r="Q76">
        <v>0.69554190867274801</v>
      </c>
      <c r="R76">
        <v>3.8667785200056697E-225</v>
      </c>
      <c r="S76" t="b">
        <v>1</v>
      </c>
      <c r="T76" t="b">
        <v>0</v>
      </c>
      <c r="V76" s="3"/>
      <c r="X76" s="4">
        <f t="shared" si="6"/>
        <v>20000</v>
      </c>
      <c r="AD76" t="b" cm="1">
        <f t="array" ref="AD76">OR(NOT(ISBLANK(Y76:AB76)))</f>
        <v>0</v>
      </c>
      <c r="AE76" t="b">
        <f t="shared" si="7"/>
        <v>1</v>
      </c>
      <c r="AF76" t="b">
        <f t="shared" si="8"/>
        <v>0</v>
      </c>
      <c r="AG76" t="b">
        <f t="shared" si="9"/>
        <v>0</v>
      </c>
    </row>
    <row r="77" spans="1:33" hidden="1" x14ac:dyDescent="0.25">
      <c r="A77" t="s">
        <v>93</v>
      </c>
      <c r="B77">
        <v>0</v>
      </c>
      <c r="C77">
        <v>0</v>
      </c>
      <c r="D77">
        <v>4889</v>
      </c>
      <c r="E77">
        <v>5004</v>
      </c>
      <c r="F77">
        <v>34262</v>
      </c>
      <c r="G77">
        <v>30808</v>
      </c>
      <c r="H77">
        <v>30849</v>
      </c>
      <c r="I77">
        <v>34188</v>
      </c>
      <c r="J77">
        <v>0</v>
      </c>
      <c r="K77">
        <v>33842</v>
      </c>
      <c r="L77">
        <v>65037</v>
      </c>
      <c r="M77">
        <v>68450</v>
      </c>
      <c r="N77" s="1">
        <v>0.4998731813046185</v>
      </c>
      <c r="O77" s="1">
        <v>0.52610543629474205</v>
      </c>
      <c r="P77" s="1">
        <v>7.0664285714285721E-2</v>
      </c>
      <c r="Q77">
        <v>0.92710492878899131</v>
      </c>
      <c r="R77">
        <v>4.0788316911948179E-79</v>
      </c>
      <c r="S77" t="b">
        <v>1</v>
      </c>
      <c r="T77" t="b">
        <v>0</v>
      </c>
      <c r="V77" s="3"/>
      <c r="X77" s="4">
        <f t="shared" si="6"/>
        <v>140000</v>
      </c>
      <c r="AD77" t="b" cm="1">
        <f t="array" ref="AD77">OR(NOT(ISBLANK(Y77:AB77)))</f>
        <v>0</v>
      </c>
      <c r="AE77" t="b">
        <f t="shared" si="7"/>
        <v>0</v>
      </c>
      <c r="AF77" t="b">
        <f t="shared" si="8"/>
        <v>0</v>
      </c>
      <c r="AG77" t="b">
        <f t="shared" si="9"/>
        <v>0</v>
      </c>
    </row>
    <row r="78" spans="1:33" hidden="1" x14ac:dyDescent="0.25">
      <c r="A78" t="s">
        <v>94</v>
      </c>
      <c r="B78">
        <v>99</v>
      </c>
      <c r="C78">
        <v>0</v>
      </c>
      <c r="D78">
        <v>166</v>
      </c>
      <c r="E78">
        <v>178</v>
      </c>
      <c r="F78">
        <v>6024</v>
      </c>
      <c r="G78">
        <v>3760</v>
      </c>
      <c r="H78">
        <v>3759</v>
      </c>
      <c r="I78">
        <v>6014</v>
      </c>
      <c r="J78">
        <f t="shared" si="5"/>
        <v>99</v>
      </c>
      <c r="L78">
        <v>9773</v>
      </c>
      <c r="M78">
        <v>12038</v>
      </c>
      <c r="N78" s="1">
        <v>0.49971877077261301</v>
      </c>
      <c r="O78" s="1">
        <v>0.61553407986910003</v>
      </c>
      <c r="P78" s="1">
        <v>1.72E-2</v>
      </c>
      <c r="Q78">
        <v>0.93730484501103295</v>
      </c>
      <c r="R78">
        <v>4.4425604684777997E-229</v>
      </c>
      <c r="S78" t="b">
        <v>1</v>
      </c>
      <c r="T78" t="b">
        <v>0</v>
      </c>
      <c r="V78" s="3"/>
      <c r="X78" s="4">
        <f t="shared" si="6"/>
        <v>20000</v>
      </c>
      <c r="AD78" t="b" cm="1">
        <f t="array" ref="AD78">OR(NOT(ISBLANK(Y78:AB78)))</f>
        <v>0</v>
      </c>
      <c r="AE78" t="b">
        <f t="shared" si="7"/>
        <v>1</v>
      </c>
      <c r="AF78" t="b">
        <f t="shared" si="8"/>
        <v>0</v>
      </c>
      <c r="AG78" t="b">
        <f t="shared" si="9"/>
        <v>0</v>
      </c>
    </row>
    <row r="79" spans="1:33" hidden="1" x14ac:dyDescent="0.25">
      <c r="A79" t="s">
        <v>95</v>
      </c>
      <c r="B79">
        <v>0</v>
      </c>
      <c r="C79">
        <v>0</v>
      </c>
      <c r="D79">
        <v>1176</v>
      </c>
      <c r="E79">
        <v>1194</v>
      </c>
      <c r="F79">
        <v>16042</v>
      </c>
      <c r="G79">
        <v>12637</v>
      </c>
      <c r="H79">
        <v>12782</v>
      </c>
      <c r="I79">
        <v>16169</v>
      </c>
      <c r="J79">
        <f t="shared" si="5"/>
        <v>0</v>
      </c>
      <c r="L79">
        <v>28951</v>
      </c>
      <c r="M79">
        <v>32211</v>
      </c>
      <c r="N79" s="1">
        <v>0.50235988200589976</v>
      </c>
      <c r="O79" s="1">
        <v>0.55892764185320143</v>
      </c>
      <c r="P79" s="1">
        <v>3.95E-2</v>
      </c>
      <c r="Q79">
        <v>0.25719816577272253</v>
      </c>
      <c r="R79">
        <v>4.2579793133159283E-176</v>
      </c>
      <c r="S79" t="b">
        <v>1</v>
      </c>
      <c r="T79" t="b">
        <v>0</v>
      </c>
      <c r="V79" s="3"/>
      <c r="X79" s="4">
        <f t="shared" si="6"/>
        <v>60000</v>
      </c>
      <c r="AD79" t="b" cm="1">
        <f t="array" ref="AD79">OR(NOT(ISBLANK(Y79:AB79)))</f>
        <v>0</v>
      </c>
      <c r="AE79" t="b">
        <f t="shared" si="7"/>
        <v>0</v>
      </c>
      <c r="AF79" t="b">
        <f t="shared" si="8"/>
        <v>0</v>
      </c>
      <c r="AG79" t="b">
        <f t="shared" si="9"/>
        <v>0</v>
      </c>
    </row>
    <row r="80" spans="1:33" hidden="1" x14ac:dyDescent="0.25">
      <c r="A80" t="s">
        <v>96</v>
      </c>
      <c r="B80">
        <v>364</v>
      </c>
      <c r="C80">
        <v>14</v>
      </c>
      <c r="D80">
        <v>716</v>
      </c>
      <c r="E80">
        <v>708</v>
      </c>
      <c r="F80">
        <v>4509</v>
      </c>
      <c r="G80">
        <v>4592</v>
      </c>
      <c r="H80">
        <v>4575</v>
      </c>
      <c r="I80">
        <v>4522</v>
      </c>
      <c r="J80">
        <f t="shared" si="5"/>
        <v>378</v>
      </c>
      <c r="L80">
        <v>9097</v>
      </c>
      <c r="M80">
        <v>9031</v>
      </c>
      <c r="N80" s="1">
        <v>0.49989009781294602</v>
      </c>
      <c r="O80" s="1">
        <v>0.49626332564018</v>
      </c>
      <c r="P80" s="1">
        <v>7.1199999999999999E-2</v>
      </c>
      <c r="Q80">
        <v>0.97634491100368104</v>
      </c>
      <c r="R80">
        <v>0.31338031385637699</v>
      </c>
      <c r="S80" t="b">
        <v>1</v>
      </c>
      <c r="T80" t="b">
        <v>1</v>
      </c>
      <c r="V80" s="3"/>
      <c r="X80" s="4">
        <f t="shared" si="6"/>
        <v>20000</v>
      </c>
      <c r="AD80" t="b" cm="1">
        <f t="array" ref="AD80">OR(NOT(ISBLANK(Y80:AB80)))</f>
        <v>0</v>
      </c>
      <c r="AE80" t="b">
        <f t="shared" si="7"/>
        <v>0</v>
      </c>
      <c r="AF80" t="b">
        <f t="shared" si="8"/>
        <v>0</v>
      </c>
      <c r="AG80" t="b">
        <f t="shared" si="9"/>
        <v>0</v>
      </c>
    </row>
    <row r="81" spans="1:33" hidden="1" x14ac:dyDescent="0.25">
      <c r="A81" t="s">
        <v>97</v>
      </c>
      <c r="B81">
        <v>0</v>
      </c>
      <c r="C81">
        <v>0</v>
      </c>
      <c r="D81">
        <v>795</v>
      </c>
      <c r="E81">
        <v>777</v>
      </c>
      <c r="F81">
        <v>4416</v>
      </c>
      <c r="G81">
        <v>4751</v>
      </c>
      <c r="H81">
        <v>4789</v>
      </c>
      <c r="I81">
        <v>4472</v>
      </c>
      <c r="J81">
        <f t="shared" si="5"/>
        <v>0</v>
      </c>
      <c r="L81">
        <v>9261</v>
      </c>
      <c r="M81">
        <v>8888</v>
      </c>
      <c r="N81" s="1">
        <v>0.50255046668113701</v>
      </c>
      <c r="O81" s="1">
        <v>0.48230952897764201</v>
      </c>
      <c r="P81" s="1">
        <v>7.8600000000000003E-2</v>
      </c>
      <c r="Q81">
        <v>0.48865444279200099</v>
      </c>
      <c r="R81">
        <v>1.56341235879272E-6</v>
      </c>
      <c r="S81" t="b">
        <v>1</v>
      </c>
      <c r="T81" t="b">
        <v>0</v>
      </c>
      <c r="V81" s="3"/>
      <c r="X81" s="4">
        <f t="shared" si="6"/>
        <v>20000</v>
      </c>
      <c r="AD81" t="b" cm="1">
        <f t="array" ref="AD81">OR(NOT(ISBLANK(Y81:AB81)))</f>
        <v>0</v>
      </c>
      <c r="AE81" t="b">
        <f t="shared" si="7"/>
        <v>0</v>
      </c>
      <c r="AF81" t="b">
        <f t="shared" si="8"/>
        <v>0</v>
      </c>
      <c r="AG81" t="b">
        <f t="shared" si="9"/>
        <v>0</v>
      </c>
    </row>
    <row r="82" spans="1:33" hidden="1" x14ac:dyDescent="0.25">
      <c r="A82" t="s">
        <v>98</v>
      </c>
      <c r="B82">
        <v>715</v>
      </c>
      <c r="C82">
        <v>1</v>
      </c>
      <c r="D82">
        <v>0</v>
      </c>
      <c r="E82">
        <v>0</v>
      </c>
      <c r="F82">
        <v>5197</v>
      </c>
      <c r="G82">
        <v>4539</v>
      </c>
      <c r="H82">
        <v>4450</v>
      </c>
      <c r="I82">
        <v>5098</v>
      </c>
      <c r="J82">
        <f t="shared" si="5"/>
        <v>716</v>
      </c>
      <c r="L82">
        <v>9548</v>
      </c>
      <c r="M82">
        <v>10295</v>
      </c>
      <c r="N82" s="1">
        <v>0.495125492636382</v>
      </c>
      <c r="O82" s="1">
        <v>0.53386226923874702</v>
      </c>
      <c r="P82" s="1">
        <v>0</v>
      </c>
      <c r="Q82">
        <v>0.17579544053458401</v>
      </c>
      <c r="R82">
        <v>5.2182399784708699E-21</v>
      </c>
      <c r="S82" t="b">
        <v>1</v>
      </c>
      <c r="T82" t="b">
        <v>0</v>
      </c>
      <c r="V82" s="3"/>
      <c r="X82" s="4">
        <f t="shared" si="6"/>
        <v>20000</v>
      </c>
      <c r="AD82" t="b" cm="1">
        <f t="array" ref="AD82">OR(NOT(ISBLANK(Y82:AB82)))</f>
        <v>0</v>
      </c>
      <c r="AE82" t="b">
        <f t="shared" si="7"/>
        <v>0</v>
      </c>
      <c r="AF82" t="b">
        <f t="shared" si="8"/>
        <v>0</v>
      </c>
      <c r="AG82" t="b">
        <f t="shared" si="9"/>
        <v>0</v>
      </c>
    </row>
    <row r="83" spans="1:33" hidden="1" x14ac:dyDescent="0.25">
      <c r="A83" t="s">
        <v>99</v>
      </c>
      <c r="B83">
        <v>0</v>
      </c>
      <c r="C83">
        <v>0</v>
      </c>
      <c r="D83">
        <v>2045</v>
      </c>
      <c r="E83">
        <v>1990</v>
      </c>
      <c r="F83">
        <v>23619</v>
      </c>
      <c r="G83">
        <v>24296</v>
      </c>
      <c r="H83">
        <v>24336</v>
      </c>
      <c r="I83">
        <v>23714</v>
      </c>
      <c r="J83">
        <v>0</v>
      </c>
      <c r="L83">
        <v>48050</v>
      </c>
      <c r="M83">
        <v>47333</v>
      </c>
      <c r="N83" s="1">
        <v>0.50070338144115045</v>
      </c>
      <c r="O83" s="1">
        <v>0.49323190746626372</v>
      </c>
      <c r="P83" s="1">
        <v>4.0349999999999997E-2</v>
      </c>
      <c r="Q83">
        <v>0.66298904577994389</v>
      </c>
      <c r="R83">
        <v>2.749631330084584E-5</v>
      </c>
      <c r="S83" t="b">
        <v>1</v>
      </c>
      <c r="T83" t="b">
        <v>0</v>
      </c>
      <c r="V83" s="3"/>
      <c r="X83" s="4">
        <f t="shared" si="6"/>
        <v>100000</v>
      </c>
      <c r="AD83" t="b" cm="1">
        <f t="array" ref="AD83">OR(NOT(ISBLANK(Y83:AB83)))</f>
        <v>0</v>
      </c>
      <c r="AE83" t="b">
        <f t="shared" si="7"/>
        <v>0</v>
      </c>
      <c r="AF83" t="b">
        <f t="shared" si="8"/>
        <v>0</v>
      </c>
      <c r="AG83" t="b">
        <f t="shared" si="9"/>
        <v>0</v>
      </c>
    </row>
    <row r="84" spans="1:33" hidden="1" x14ac:dyDescent="0.25">
      <c r="A84" t="s">
        <v>100</v>
      </c>
      <c r="B84">
        <v>167</v>
      </c>
      <c r="C84">
        <v>0</v>
      </c>
      <c r="D84">
        <v>9123</v>
      </c>
      <c r="E84">
        <v>9201</v>
      </c>
      <c r="F84">
        <v>30575</v>
      </c>
      <c r="G84">
        <v>30322</v>
      </c>
      <c r="H84">
        <v>30210</v>
      </c>
      <c r="I84">
        <v>30402</v>
      </c>
      <c r="J84">
        <v>167</v>
      </c>
      <c r="K84">
        <v>0</v>
      </c>
      <c r="L84">
        <v>60612</v>
      </c>
      <c r="M84">
        <v>60977</v>
      </c>
      <c r="N84" s="1">
        <v>0.49882724736439277</v>
      </c>
      <c r="O84" s="1">
        <v>0.50183114008015872</v>
      </c>
      <c r="P84" s="1">
        <v>0.13088571428571427</v>
      </c>
      <c r="Q84">
        <v>0.41358589221907449</v>
      </c>
      <c r="R84">
        <v>0.20174251805392604</v>
      </c>
      <c r="S84" t="b">
        <v>1</v>
      </c>
      <c r="T84" t="b">
        <v>1</v>
      </c>
      <c r="V84" s="3"/>
      <c r="X84" s="4">
        <f t="shared" si="6"/>
        <v>140000</v>
      </c>
      <c r="AD84" t="b" cm="1">
        <f t="array" ref="AD84">OR(NOT(ISBLANK(Y84:AB84)))</f>
        <v>0</v>
      </c>
      <c r="AE84" t="b">
        <f t="shared" si="7"/>
        <v>1</v>
      </c>
      <c r="AF84" t="b">
        <f t="shared" si="8"/>
        <v>0</v>
      </c>
      <c r="AG84" t="b">
        <f t="shared" si="9"/>
        <v>0</v>
      </c>
    </row>
    <row r="85" spans="1:33" hidden="1" x14ac:dyDescent="0.25">
      <c r="A85" t="s">
        <v>101</v>
      </c>
      <c r="B85">
        <v>0</v>
      </c>
      <c r="C85">
        <v>0</v>
      </c>
      <c r="D85">
        <v>571</v>
      </c>
      <c r="E85">
        <v>517</v>
      </c>
      <c r="F85">
        <v>4120</v>
      </c>
      <c r="G85">
        <v>5388</v>
      </c>
      <c r="H85">
        <v>5309</v>
      </c>
      <c r="I85">
        <v>4095</v>
      </c>
      <c r="J85">
        <f t="shared" si="5"/>
        <v>0</v>
      </c>
      <c r="L85">
        <v>9404</v>
      </c>
      <c r="M85">
        <v>8215</v>
      </c>
      <c r="N85" s="1">
        <v>0.49725042301184402</v>
      </c>
      <c r="O85" s="1">
        <v>0.43438028764805398</v>
      </c>
      <c r="P85" s="1">
        <v>5.4399999999999997E-2</v>
      </c>
      <c r="Q85">
        <v>0.449500131952633</v>
      </c>
      <c r="R85">
        <v>8.1555902867867306E-73</v>
      </c>
      <c r="S85" t="b">
        <v>1</v>
      </c>
      <c r="T85" t="b">
        <v>0</v>
      </c>
      <c r="V85" s="3"/>
      <c r="X85" s="4">
        <f t="shared" si="6"/>
        <v>20000</v>
      </c>
      <c r="AD85" t="b" cm="1">
        <f t="array" ref="AD85">OR(NOT(ISBLANK(Y85:AB85)))</f>
        <v>0</v>
      </c>
      <c r="AE85" t="b">
        <f t="shared" si="7"/>
        <v>0</v>
      </c>
      <c r="AF85" t="b">
        <f t="shared" si="8"/>
        <v>0</v>
      </c>
      <c r="AG85" t="b">
        <f t="shared" si="9"/>
        <v>0</v>
      </c>
    </row>
    <row r="86" spans="1:33" hidden="1" x14ac:dyDescent="0.25">
      <c r="A86" t="s">
        <v>102</v>
      </c>
      <c r="B86">
        <v>134</v>
      </c>
      <c r="C86">
        <v>0</v>
      </c>
      <c r="D86">
        <v>948</v>
      </c>
      <c r="E86">
        <v>929</v>
      </c>
      <c r="F86">
        <v>3189</v>
      </c>
      <c r="G86">
        <v>5838</v>
      </c>
      <c r="H86">
        <v>5797</v>
      </c>
      <c r="I86">
        <v>3165</v>
      </c>
      <c r="J86">
        <f t="shared" si="5"/>
        <v>134</v>
      </c>
      <c r="L86">
        <v>8962</v>
      </c>
      <c r="M86">
        <v>6354</v>
      </c>
      <c r="N86" s="1">
        <v>0.498193340374673</v>
      </c>
      <c r="O86" s="1">
        <v>0.35321585413308099</v>
      </c>
      <c r="P86" s="1">
        <v>9.3850000000000003E-2</v>
      </c>
      <c r="Q86">
        <v>0.62793918463537002</v>
      </c>
      <c r="R86">
        <v>0</v>
      </c>
      <c r="S86" t="b">
        <v>1</v>
      </c>
      <c r="T86" t="b">
        <v>0</v>
      </c>
      <c r="V86" s="3"/>
      <c r="X86" s="4">
        <f t="shared" si="6"/>
        <v>20000</v>
      </c>
      <c r="AD86" t="b" cm="1">
        <f t="array" ref="AD86">OR(NOT(ISBLANK(Y86:AB86)))</f>
        <v>0</v>
      </c>
      <c r="AE86" t="b">
        <f t="shared" si="7"/>
        <v>1</v>
      </c>
      <c r="AF86" t="b">
        <f t="shared" si="8"/>
        <v>0</v>
      </c>
      <c r="AG86" t="b">
        <f t="shared" si="9"/>
        <v>0</v>
      </c>
    </row>
    <row r="87" spans="1:33" hidden="1" x14ac:dyDescent="0.25">
      <c r="A87" t="s">
        <v>103</v>
      </c>
      <c r="B87">
        <v>0</v>
      </c>
      <c r="C87">
        <v>0</v>
      </c>
      <c r="D87">
        <v>0</v>
      </c>
      <c r="E87">
        <v>0</v>
      </c>
      <c r="F87">
        <v>5138</v>
      </c>
      <c r="G87">
        <v>4770</v>
      </c>
      <c r="H87">
        <v>4862</v>
      </c>
      <c r="I87">
        <v>5230</v>
      </c>
      <c r="J87">
        <f t="shared" si="5"/>
        <v>0</v>
      </c>
      <c r="K87">
        <v>0</v>
      </c>
      <c r="L87">
        <v>10092</v>
      </c>
      <c r="M87">
        <v>10368</v>
      </c>
      <c r="N87" s="1">
        <v>0.50460000000000005</v>
      </c>
      <c r="O87" s="1">
        <v>0.51839999999999997</v>
      </c>
      <c r="P87" s="1">
        <v>0</v>
      </c>
      <c r="Q87">
        <v>0.19323227845223401</v>
      </c>
      <c r="R87">
        <v>1.94723017166202E-7</v>
      </c>
      <c r="S87" t="b">
        <v>1</v>
      </c>
      <c r="T87" t="b">
        <v>0</v>
      </c>
      <c r="V87" s="3"/>
      <c r="X87" s="4">
        <f t="shared" si="6"/>
        <v>20000</v>
      </c>
      <c r="AA87" s="5" t="s">
        <v>165</v>
      </c>
      <c r="AD87" t="b" cm="1">
        <f t="array" ref="AD87">OR(NOT(ISBLANK(Y87:AB87)))</f>
        <v>1</v>
      </c>
      <c r="AE87" t="b">
        <f t="shared" si="7"/>
        <v>0</v>
      </c>
      <c r="AF87" t="b">
        <f t="shared" si="8"/>
        <v>0</v>
      </c>
      <c r="AG87" t="b">
        <f t="shared" si="9"/>
        <v>0</v>
      </c>
    </row>
    <row r="88" spans="1:33" hidden="1" x14ac:dyDescent="0.25">
      <c r="A88" t="s">
        <v>104</v>
      </c>
      <c r="B88">
        <v>0</v>
      </c>
      <c r="C88">
        <v>0</v>
      </c>
      <c r="D88">
        <v>553</v>
      </c>
      <c r="E88">
        <v>568</v>
      </c>
      <c r="F88">
        <v>4291</v>
      </c>
      <c r="G88">
        <v>5117</v>
      </c>
      <c r="H88">
        <v>5156</v>
      </c>
      <c r="I88">
        <v>4315</v>
      </c>
      <c r="J88">
        <f t="shared" si="5"/>
        <v>0</v>
      </c>
      <c r="L88">
        <v>9471</v>
      </c>
      <c r="M88">
        <v>8606</v>
      </c>
      <c r="N88" s="1">
        <v>0.50166852057842004</v>
      </c>
      <c r="O88" s="1">
        <v>0.45585041580592101</v>
      </c>
      <c r="P88" s="1">
        <v>5.6050000000000003E-2</v>
      </c>
      <c r="Q88">
        <v>0.64658437790776402</v>
      </c>
      <c r="R88">
        <v>7.11485452530845E-34</v>
      </c>
      <c r="S88" t="b">
        <v>1</v>
      </c>
      <c r="T88" t="b">
        <v>0</v>
      </c>
      <c r="V88" s="3"/>
      <c r="X88" s="4">
        <f t="shared" si="6"/>
        <v>20000</v>
      </c>
      <c r="AD88" t="b" cm="1">
        <f t="array" ref="AD88">OR(NOT(ISBLANK(Y88:AB88)))</f>
        <v>0</v>
      </c>
      <c r="AE88" t="b">
        <f t="shared" si="7"/>
        <v>0</v>
      </c>
      <c r="AF88" t="b">
        <f t="shared" si="8"/>
        <v>0</v>
      </c>
      <c r="AG88" t="b">
        <f t="shared" si="9"/>
        <v>0</v>
      </c>
    </row>
    <row r="89" spans="1:33" hidden="1" x14ac:dyDescent="0.25">
      <c r="A89" t="s">
        <v>105</v>
      </c>
      <c r="B89">
        <v>8</v>
      </c>
      <c r="C89">
        <v>0</v>
      </c>
      <c r="D89">
        <v>13</v>
      </c>
      <c r="E89">
        <v>14</v>
      </c>
      <c r="F89">
        <v>9914</v>
      </c>
      <c r="G89">
        <v>10051</v>
      </c>
      <c r="H89">
        <v>10068</v>
      </c>
      <c r="I89">
        <v>9932</v>
      </c>
      <c r="J89">
        <v>8</v>
      </c>
      <c r="K89">
        <v>500</v>
      </c>
      <c r="L89">
        <v>20000</v>
      </c>
      <c r="M89">
        <v>19846</v>
      </c>
      <c r="N89" s="1">
        <v>0.50043788314775395</v>
      </c>
      <c r="O89" s="1">
        <v>0.49658451144751597</v>
      </c>
      <c r="P89" s="1">
        <v>6.7500000000000004E-4</v>
      </c>
      <c r="Q89">
        <v>0.861019434728169</v>
      </c>
      <c r="R89">
        <v>0.172065306660944</v>
      </c>
      <c r="S89" t="b">
        <v>1</v>
      </c>
      <c r="T89" t="b">
        <v>1</v>
      </c>
      <c r="V89" s="3"/>
      <c r="X89" s="4">
        <f t="shared" si="6"/>
        <v>40000</v>
      </c>
      <c r="Y89" s="5" t="s">
        <v>167</v>
      </c>
      <c r="AD89" t="b" cm="1">
        <f t="array" ref="AD89">OR(NOT(ISBLANK(Y89:AB89)))</f>
        <v>1</v>
      </c>
      <c r="AE89" t="b">
        <f t="shared" si="7"/>
        <v>0</v>
      </c>
      <c r="AF89" t="b">
        <f t="shared" si="8"/>
        <v>0</v>
      </c>
      <c r="AG89" t="b">
        <f t="shared" si="9"/>
        <v>0</v>
      </c>
    </row>
    <row r="90" spans="1:33" hidden="1" x14ac:dyDescent="0.25">
      <c r="A90" t="s">
        <v>106</v>
      </c>
      <c r="B90">
        <v>31</v>
      </c>
      <c r="C90">
        <v>0</v>
      </c>
      <c r="D90">
        <v>1</v>
      </c>
      <c r="E90">
        <v>1</v>
      </c>
      <c r="F90">
        <v>6307</v>
      </c>
      <c r="G90">
        <v>3606</v>
      </c>
      <c r="H90">
        <v>3683</v>
      </c>
      <c r="I90">
        <v>6371</v>
      </c>
      <c r="J90">
        <f t="shared" si="5"/>
        <v>31</v>
      </c>
      <c r="L90">
        <v>10054</v>
      </c>
      <c r="M90">
        <v>12678</v>
      </c>
      <c r="N90" s="1">
        <v>0.50353082586267295</v>
      </c>
      <c r="O90" s="1">
        <v>0.63494766364501398</v>
      </c>
      <c r="P90" s="1">
        <v>1E-4</v>
      </c>
      <c r="Q90">
        <v>0.31835495086348597</v>
      </c>
      <c r="R90">
        <v>0</v>
      </c>
      <c r="S90" t="b">
        <v>1</v>
      </c>
      <c r="T90" t="b">
        <v>0</v>
      </c>
      <c r="V90" s="3"/>
      <c r="X90" s="4">
        <f t="shared" si="6"/>
        <v>20000</v>
      </c>
      <c r="AD90" t="b" cm="1">
        <f t="array" ref="AD90">OR(NOT(ISBLANK(Y90:AB90)))</f>
        <v>0</v>
      </c>
      <c r="AE90" t="b">
        <f t="shared" si="7"/>
        <v>1</v>
      </c>
      <c r="AF90" t="b">
        <f t="shared" si="8"/>
        <v>0</v>
      </c>
      <c r="AG90" t="b">
        <f t="shared" si="9"/>
        <v>0</v>
      </c>
    </row>
    <row r="91" spans="1:33" hidden="1" x14ac:dyDescent="0.25">
      <c r="A91" t="s">
        <v>107</v>
      </c>
      <c r="B91">
        <v>0</v>
      </c>
      <c r="C91">
        <v>688</v>
      </c>
      <c r="D91">
        <v>0</v>
      </c>
      <c r="E91">
        <v>0</v>
      </c>
      <c r="F91">
        <v>4757</v>
      </c>
      <c r="G91">
        <v>4863</v>
      </c>
      <c r="H91">
        <v>4888</v>
      </c>
      <c r="I91">
        <v>4804</v>
      </c>
      <c r="J91">
        <f t="shared" si="5"/>
        <v>688</v>
      </c>
      <c r="L91">
        <v>9692</v>
      </c>
      <c r="M91">
        <v>9561</v>
      </c>
      <c r="N91" s="1">
        <v>0.50186412593206298</v>
      </c>
      <c r="O91" s="1">
        <v>0.49508077879038898</v>
      </c>
      <c r="P91" s="1">
        <v>0</v>
      </c>
      <c r="Q91">
        <v>0.604384107533816</v>
      </c>
      <c r="R91">
        <v>0.17155480770079401</v>
      </c>
      <c r="S91" t="b">
        <v>1</v>
      </c>
      <c r="T91" t="b">
        <v>1</v>
      </c>
      <c r="V91" s="3"/>
      <c r="X91" s="4">
        <f t="shared" si="6"/>
        <v>20000</v>
      </c>
      <c r="AD91" t="b" cm="1">
        <f t="array" ref="AD91">OR(NOT(ISBLANK(Y91:AB91)))</f>
        <v>0</v>
      </c>
      <c r="AE91" t="b">
        <f t="shared" si="7"/>
        <v>0</v>
      </c>
      <c r="AF91" t="b">
        <f t="shared" si="8"/>
        <v>0</v>
      </c>
      <c r="AG91" t="b">
        <f t="shared" si="9"/>
        <v>0</v>
      </c>
    </row>
    <row r="92" spans="1:33" hidden="1" x14ac:dyDescent="0.25">
      <c r="A92" t="s">
        <v>108</v>
      </c>
      <c r="B92">
        <v>0</v>
      </c>
      <c r="C92">
        <v>0</v>
      </c>
      <c r="D92">
        <v>1082</v>
      </c>
      <c r="E92">
        <v>1051</v>
      </c>
      <c r="F92">
        <v>4866</v>
      </c>
      <c r="G92">
        <v>4114</v>
      </c>
      <c r="H92">
        <v>4052</v>
      </c>
      <c r="I92">
        <v>4835</v>
      </c>
      <c r="J92">
        <f t="shared" si="5"/>
        <v>0</v>
      </c>
      <c r="L92">
        <v>8887</v>
      </c>
      <c r="M92">
        <v>9701</v>
      </c>
      <c r="N92" s="1">
        <v>0.49739743661498798</v>
      </c>
      <c r="O92" s="1">
        <v>0.54295628812895202</v>
      </c>
      <c r="P92" s="1">
        <v>0.10664999999999999</v>
      </c>
      <c r="Q92">
        <v>0.48658147849799499</v>
      </c>
      <c r="R92">
        <v>1.5927858827052901E-30</v>
      </c>
      <c r="S92" t="b">
        <v>1</v>
      </c>
      <c r="T92" t="b">
        <v>0</v>
      </c>
      <c r="V92" s="3"/>
      <c r="X92" s="4">
        <f t="shared" si="6"/>
        <v>20000</v>
      </c>
      <c r="AD92" t="b" cm="1">
        <f t="array" ref="AD92">OR(NOT(ISBLANK(Y92:AB92)))</f>
        <v>0</v>
      </c>
      <c r="AE92" t="b">
        <f t="shared" si="7"/>
        <v>1</v>
      </c>
      <c r="AF92" t="b">
        <f t="shared" si="8"/>
        <v>0</v>
      </c>
      <c r="AG92" t="b">
        <f t="shared" si="9"/>
        <v>0</v>
      </c>
    </row>
    <row r="93" spans="1:33" hidden="1" x14ac:dyDescent="0.25">
      <c r="A93" s="11" t="s">
        <v>109</v>
      </c>
      <c r="B93">
        <v>0</v>
      </c>
      <c r="C93">
        <v>0</v>
      </c>
      <c r="D93">
        <v>1728</v>
      </c>
      <c r="E93">
        <v>1705</v>
      </c>
      <c r="F93">
        <v>4174</v>
      </c>
      <c r="G93">
        <v>4089</v>
      </c>
      <c r="H93">
        <v>4098</v>
      </c>
      <c r="I93">
        <v>4206</v>
      </c>
      <c r="J93">
        <f t="shared" si="5"/>
        <v>0</v>
      </c>
      <c r="L93">
        <v>8304</v>
      </c>
      <c r="M93">
        <v>8380</v>
      </c>
      <c r="N93" s="1">
        <v>0.50123739964990599</v>
      </c>
      <c r="O93" s="1">
        <v>0.50582483249833998</v>
      </c>
      <c r="P93" s="1">
        <v>0.17165</v>
      </c>
      <c r="Q93">
        <v>0.75007650108310497</v>
      </c>
      <c r="R93">
        <v>0.13375390140979199</v>
      </c>
      <c r="S93" t="b">
        <v>1</v>
      </c>
      <c r="T93" t="b">
        <v>1</v>
      </c>
      <c r="V93" s="3"/>
      <c r="X93" s="4">
        <f t="shared" si="6"/>
        <v>20000</v>
      </c>
      <c r="AD93" t="b" cm="1">
        <f t="array" ref="AD93">OR(NOT(ISBLANK(Y93:AB93)))</f>
        <v>0</v>
      </c>
      <c r="AE93" s="11" t="b">
        <v>0</v>
      </c>
      <c r="AF93" s="11" t="b">
        <v>0</v>
      </c>
      <c r="AG93" s="11" t="b">
        <v>0</v>
      </c>
    </row>
    <row r="94" spans="1:33" hidden="1" x14ac:dyDescent="0.25">
      <c r="A94" s="11" t="s">
        <v>110</v>
      </c>
      <c r="B94">
        <v>44</v>
      </c>
      <c r="C94">
        <v>0</v>
      </c>
      <c r="D94">
        <v>2769</v>
      </c>
      <c r="E94">
        <v>2749</v>
      </c>
      <c r="F94">
        <v>3641</v>
      </c>
      <c r="G94">
        <v>3645</v>
      </c>
      <c r="H94">
        <v>3562</v>
      </c>
      <c r="I94">
        <v>3590</v>
      </c>
      <c r="J94">
        <f t="shared" si="5"/>
        <v>44</v>
      </c>
      <c r="L94">
        <v>7152</v>
      </c>
      <c r="M94">
        <v>7231</v>
      </c>
      <c r="N94" s="1">
        <v>0.49535946807036901</v>
      </c>
      <c r="O94" s="1">
        <v>0.50083114004709794</v>
      </c>
      <c r="P94" s="1">
        <v>0.27589999999999998</v>
      </c>
      <c r="Q94">
        <v>0.26476635553265399</v>
      </c>
      <c r="R94">
        <v>0.84168656261684804</v>
      </c>
      <c r="S94" t="b">
        <v>1</v>
      </c>
      <c r="T94" t="b">
        <v>1</v>
      </c>
      <c r="V94" s="3"/>
      <c r="X94" s="4">
        <f t="shared" si="6"/>
        <v>20000</v>
      </c>
      <c r="AD94" t="b" cm="1">
        <f t="array" ref="AD94">OR(NOT(ISBLANK(Y94:AB94)))</f>
        <v>0</v>
      </c>
      <c r="AE94" s="11" t="b">
        <v>0</v>
      </c>
      <c r="AF94" s="11" t="b">
        <v>0</v>
      </c>
      <c r="AG94" s="11" t="b">
        <v>0</v>
      </c>
    </row>
    <row r="95" spans="1:33" hidden="1" x14ac:dyDescent="0.25">
      <c r="A95" s="11" t="s">
        <v>111</v>
      </c>
      <c r="B95">
        <v>223</v>
      </c>
      <c r="C95">
        <v>0</v>
      </c>
      <c r="D95">
        <v>592</v>
      </c>
      <c r="E95">
        <v>640</v>
      </c>
      <c r="F95">
        <v>4484</v>
      </c>
      <c r="G95">
        <v>4729</v>
      </c>
      <c r="H95">
        <v>4795</v>
      </c>
      <c r="I95">
        <v>4537</v>
      </c>
      <c r="J95">
        <f t="shared" si="5"/>
        <v>223</v>
      </c>
      <c r="L95">
        <v>9332</v>
      </c>
      <c r="M95">
        <v>9021</v>
      </c>
      <c r="N95" s="1">
        <v>0.50320841197088095</v>
      </c>
      <c r="O95" s="1">
        <v>0.48643839309787001</v>
      </c>
      <c r="P95" s="1">
        <v>6.1600000000000002E-2</v>
      </c>
      <c r="Q95">
        <v>0.38220361611251102</v>
      </c>
      <c r="R95">
        <v>2.21066699593855E-4</v>
      </c>
      <c r="S95" t="b">
        <v>1</v>
      </c>
      <c r="T95" t="b">
        <v>0</v>
      </c>
      <c r="V95" s="3"/>
      <c r="X95" s="4">
        <f t="shared" si="6"/>
        <v>20000</v>
      </c>
      <c r="AD95" t="b" cm="1">
        <f t="array" ref="AD95">OR(NOT(ISBLANK(Y95:AB95)))</f>
        <v>0</v>
      </c>
      <c r="AE95" s="11" t="b">
        <v>0</v>
      </c>
      <c r="AF95" s="11" t="b">
        <v>0</v>
      </c>
      <c r="AG95" s="11" t="b">
        <v>0</v>
      </c>
    </row>
    <row r="96" spans="1:33" hidden="1" x14ac:dyDescent="0.25">
      <c r="A96" t="s">
        <v>112</v>
      </c>
      <c r="B96">
        <v>0</v>
      </c>
      <c r="C96">
        <v>69</v>
      </c>
      <c r="D96">
        <v>0</v>
      </c>
      <c r="E96">
        <v>0</v>
      </c>
      <c r="F96">
        <v>5005</v>
      </c>
      <c r="G96">
        <v>5029</v>
      </c>
      <c r="H96">
        <v>4957</v>
      </c>
      <c r="I96">
        <v>4940</v>
      </c>
      <c r="J96">
        <f t="shared" si="5"/>
        <v>69</v>
      </c>
      <c r="L96">
        <v>9897</v>
      </c>
      <c r="M96">
        <v>9945</v>
      </c>
      <c r="N96" s="1">
        <v>0.496563142842807</v>
      </c>
      <c r="O96" s="1">
        <v>0.498971451507701</v>
      </c>
      <c r="P96" s="1">
        <v>0</v>
      </c>
      <c r="Q96">
        <v>0.33184132070411498</v>
      </c>
      <c r="R96">
        <v>0.771498632467708</v>
      </c>
      <c r="S96" t="b">
        <v>1</v>
      </c>
      <c r="T96" t="b">
        <v>1</v>
      </c>
      <c r="V96" s="3"/>
      <c r="X96" s="4">
        <f t="shared" si="6"/>
        <v>20000</v>
      </c>
      <c r="AD96" t="b" cm="1">
        <f t="array" ref="AD96">OR(NOT(ISBLANK(Y96:AB96)))</f>
        <v>0</v>
      </c>
      <c r="AE96" t="b">
        <f t="shared" si="7"/>
        <v>0</v>
      </c>
      <c r="AF96" t="b">
        <f t="shared" si="8"/>
        <v>0</v>
      </c>
      <c r="AG96" t="b">
        <f t="shared" si="9"/>
        <v>0</v>
      </c>
    </row>
    <row r="97" spans="1:33" hidden="1" x14ac:dyDescent="0.25">
      <c r="A97" t="s">
        <v>113</v>
      </c>
      <c r="B97">
        <v>0</v>
      </c>
      <c r="C97">
        <v>0</v>
      </c>
      <c r="D97">
        <v>954</v>
      </c>
      <c r="E97">
        <v>891</v>
      </c>
      <c r="F97">
        <v>4880</v>
      </c>
      <c r="G97">
        <v>4220</v>
      </c>
      <c r="H97">
        <v>4166</v>
      </c>
      <c r="I97">
        <v>4889</v>
      </c>
      <c r="J97">
        <f t="shared" si="5"/>
        <v>0</v>
      </c>
      <c r="L97">
        <v>9055</v>
      </c>
      <c r="M97">
        <v>9769</v>
      </c>
      <c r="N97" s="1">
        <v>0.49876067199118701</v>
      </c>
      <c r="O97" s="1">
        <v>0.53808868080418604</v>
      </c>
      <c r="P97" s="1">
        <v>9.2249999999999999E-2</v>
      </c>
      <c r="Q97">
        <v>0.738398174980605</v>
      </c>
      <c r="R97">
        <v>1.02190559653877E-24</v>
      </c>
      <c r="S97" t="b">
        <v>1</v>
      </c>
      <c r="T97" t="b">
        <v>0</v>
      </c>
      <c r="V97" s="3"/>
      <c r="X97" s="4">
        <f t="shared" si="6"/>
        <v>20000</v>
      </c>
      <c r="AD97" t="b" cm="1">
        <f t="array" ref="AD97">OR(NOT(ISBLANK(Y97:AB97)))</f>
        <v>0</v>
      </c>
      <c r="AE97" t="b">
        <f t="shared" si="7"/>
        <v>0</v>
      </c>
      <c r="AF97" t="b">
        <f t="shared" si="8"/>
        <v>0</v>
      </c>
      <c r="AG97" t="b">
        <f t="shared" si="9"/>
        <v>0</v>
      </c>
    </row>
    <row r="98" spans="1:33" hidden="1" x14ac:dyDescent="0.25">
      <c r="A98" t="s">
        <v>114</v>
      </c>
      <c r="B98">
        <v>0</v>
      </c>
      <c r="C98">
        <v>221</v>
      </c>
      <c r="D98">
        <v>0</v>
      </c>
      <c r="E98">
        <v>0</v>
      </c>
      <c r="F98">
        <v>14221</v>
      </c>
      <c r="G98">
        <v>15688</v>
      </c>
      <c r="H98">
        <v>15681</v>
      </c>
      <c r="I98">
        <v>14189</v>
      </c>
      <c r="J98">
        <f t="shared" si="5"/>
        <v>221</v>
      </c>
      <c r="L98">
        <v>29870</v>
      </c>
      <c r="M98">
        <v>28410</v>
      </c>
      <c r="N98" s="1">
        <v>0.49967379849110893</v>
      </c>
      <c r="O98" s="1">
        <v>0.47525050603054586</v>
      </c>
      <c r="P98" s="1">
        <v>0</v>
      </c>
      <c r="Q98">
        <v>0.87326639483073354</v>
      </c>
      <c r="R98">
        <v>1.0259793293197962E-33</v>
      </c>
      <c r="S98" t="b">
        <v>1</v>
      </c>
      <c r="T98" t="b">
        <v>0</v>
      </c>
      <c r="V98" s="3"/>
      <c r="X98" s="4">
        <f t="shared" ref="X98:X129" si="10">SUM(B98:I98)</f>
        <v>60000</v>
      </c>
      <c r="AD98" t="b" cm="1">
        <f t="array" ref="AD98">OR(NOT(ISBLANK(Y98:AB98)))</f>
        <v>0</v>
      </c>
      <c r="AE98" t="b">
        <f t="shared" si="7"/>
        <v>0</v>
      </c>
      <c r="AF98" t="b">
        <f t="shared" si="8"/>
        <v>0</v>
      </c>
      <c r="AG98" t="b">
        <f t="shared" si="9"/>
        <v>0</v>
      </c>
    </row>
    <row r="99" spans="1:33" hidden="1" x14ac:dyDescent="0.25">
      <c r="A99" t="s">
        <v>115</v>
      </c>
      <c r="B99">
        <v>0</v>
      </c>
      <c r="C99">
        <v>3</v>
      </c>
      <c r="D99">
        <v>34</v>
      </c>
      <c r="E99">
        <v>39</v>
      </c>
      <c r="F99">
        <v>4416</v>
      </c>
      <c r="G99">
        <v>5530</v>
      </c>
      <c r="H99">
        <v>5548</v>
      </c>
      <c r="I99">
        <v>4430</v>
      </c>
      <c r="J99">
        <f t="shared" si="5"/>
        <v>3</v>
      </c>
      <c r="L99">
        <v>9978</v>
      </c>
      <c r="M99">
        <v>8846</v>
      </c>
      <c r="N99" s="1">
        <v>0.50080305159606497</v>
      </c>
      <c r="O99" s="1">
        <v>0.44398715117446202</v>
      </c>
      <c r="P99" s="1">
        <v>3.65E-3</v>
      </c>
      <c r="Q99">
        <v>0.82065289000342101</v>
      </c>
      <c r="R99">
        <v>2.54345143474219E-56</v>
      </c>
      <c r="S99" t="b">
        <v>1</v>
      </c>
      <c r="T99" t="b">
        <v>0</v>
      </c>
      <c r="V99" s="3"/>
      <c r="X99" s="4">
        <f t="shared" si="10"/>
        <v>20000</v>
      </c>
      <c r="AD99" t="b" cm="1">
        <f t="array" ref="AD99">OR(NOT(ISBLANK(Y99:AB99)))</f>
        <v>0</v>
      </c>
      <c r="AE99" t="b">
        <f t="shared" si="7"/>
        <v>0</v>
      </c>
      <c r="AF99" t="b">
        <f t="shared" si="8"/>
        <v>0</v>
      </c>
      <c r="AG99" t="b">
        <f t="shared" si="9"/>
        <v>0</v>
      </c>
    </row>
    <row r="100" spans="1:33" hidden="1" x14ac:dyDescent="0.25">
      <c r="A100" t="s">
        <v>116</v>
      </c>
      <c r="B100">
        <v>0</v>
      </c>
      <c r="C100">
        <v>0</v>
      </c>
      <c r="D100">
        <v>0</v>
      </c>
      <c r="E100">
        <v>0</v>
      </c>
      <c r="F100">
        <v>20101</v>
      </c>
      <c r="G100">
        <v>19812</v>
      </c>
      <c r="H100">
        <v>19899</v>
      </c>
      <c r="I100">
        <v>20188</v>
      </c>
      <c r="J100">
        <v>0</v>
      </c>
      <c r="K100">
        <v>0</v>
      </c>
      <c r="L100">
        <v>40087</v>
      </c>
      <c r="M100">
        <v>40289</v>
      </c>
      <c r="N100" s="1">
        <v>0.50108750000000002</v>
      </c>
      <c r="O100" s="1">
        <v>0.50361250000000002</v>
      </c>
      <c r="P100" s="1">
        <v>0</v>
      </c>
      <c r="Q100">
        <v>0.53843393961203723</v>
      </c>
      <c r="R100">
        <v>4.099915056750586E-2</v>
      </c>
      <c r="S100" t="b">
        <v>1</v>
      </c>
      <c r="T100" t="b">
        <v>0</v>
      </c>
      <c r="V100" s="3"/>
      <c r="X100" s="4">
        <f t="shared" si="10"/>
        <v>80000</v>
      </c>
      <c r="Y100" s="5" t="s">
        <v>167</v>
      </c>
      <c r="AD100" t="b" cm="1">
        <f t="array" ref="AD100">OR(NOT(ISBLANK(Y100:AB100)))</f>
        <v>1</v>
      </c>
      <c r="AE100" t="b">
        <f t="shared" si="7"/>
        <v>0</v>
      </c>
      <c r="AF100" t="b">
        <f t="shared" si="8"/>
        <v>0</v>
      </c>
      <c r="AG100" t="b">
        <f t="shared" si="9"/>
        <v>1</v>
      </c>
    </row>
    <row r="101" spans="1:33" hidden="1" x14ac:dyDescent="0.25">
      <c r="A101" t="s">
        <v>117</v>
      </c>
      <c r="B101">
        <v>0</v>
      </c>
      <c r="C101">
        <v>787</v>
      </c>
      <c r="D101">
        <v>0</v>
      </c>
      <c r="E101">
        <v>0</v>
      </c>
      <c r="F101">
        <v>39778</v>
      </c>
      <c r="G101">
        <v>39624</v>
      </c>
      <c r="H101">
        <v>39828</v>
      </c>
      <c r="I101">
        <v>39983</v>
      </c>
      <c r="J101">
        <v>787</v>
      </c>
      <c r="K101">
        <v>245</v>
      </c>
      <c r="L101">
        <v>79811</v>
      </c>
      <c r="M101">
        <v>79761</v>
      </c>
      <c r="N101" s="1">
        <v>0.50128444285328455</v>
      </c>
      <c r="O101" s="1">
        <v>0.50097039814588007</v>
      </c>
      <c r="P101" s="1">
        <v>0</v>
      </c>
      <c r="Q101">
        <v>0.30535185122260056</v>
      </c>
      <c r="R101">
        <v>0.43869020171710787</v>
      </c>
      <c r="S101" t="b">
        <v>1</v>
      </c>
      <c r="T101" t="b">
        <v>1</v>
      </c>
      <c r="V101" s="3"/>
      <c r="X101" s="4">
        <f t="shared" si="10"/>
        <v>160000</v>
      </c>
      <c r="Y101" s="5" t="s">
        <v>179</v>
      </c>
      <c r="AD101" t="b" cm="1">
        <f t="array" ref="AD101">OR(NOT(ISBLANK(Y101:AB101)))</f>
        <v>1</v>
      </c>
      <c r="AE101" t="b">
        <f t="shared" si="7"/>
        <v>0</v>
      </c>
      <c r="AF101" t="b">
        <f t="shared" si="8"/>
        <v>0</v>
      </c>
      <c r="AG101" t="b">
        <f t="shared" si="9"/>
        <v>0</v>
      </c>
    </row>
    <row r="102" spans="1:33" hidden="1" x14ac:dyDescent="0.25">
      <c r="A102" t="s">
        <v>118</v>
      </c>
      <c r="B102">
        <v>0</v>
      </c>
      <c r="C102">
        <v>0</v>
      </c>
      <c r="D102">
        <v>237</v>
      </c>
      <c r="E102">
        <v>224</v>
      </c>
      <c r="F102">
        <v>5049</v>
      </c>
      <c r="G102">
        <v>4730</v>
      </c>
      <c r="H102">
        <v>4714</v>
      </c>
      <c r="I102">
        <v>5046</v>
      </c>
      <c r="J102">
        <f t="shared" si="5"/>
        <v>0</v>
      </c>
      <c r="L102">
        <v>9760</v>
      </c>
      <c r="M102">
        <v>10095</v>
      </c>
      <c r="N102" s="1">
        <v>0.49951379292696602</v>
      </c>
      <c r="O102" s="1">
        <v>0.51665898971288104</v>
      </c>
      <c r="P102" s="1">
        <v>2.3050000000000001E-2</v>
      </c>
      <c r="Q102">
        <v>0.89187980650149101</v>
      </c>
      <c r="R102">
        <v>3.20456690170254E-6</v>
      </c>
      <c r="S102" t="b">
        <v>1</v>
      </c>
      <c r="T102" t="b">
        <v>0</v>
      </c>
      <c r="V102" s="3"/>
      <c r="X102" s="4">
        <f t="shared" si="10"/>
        <v>20000</v>
      </c>
      <c r="Z102" s="5" t="s">
        <v>160</v>
      </c>
      <c r="AD102" t="b" cm="1">
        <f t="array" ref="AD102">OR(NOT(ISBLANK(Y102:AB102)))</f>
        <v>1</v>
      </c>
      <c r="AE102" t="b">
        <f t="shared" si="7"/>
        <v>0</v>
      </c>
      <c r="AF102" t="b">
        <f t="shared" si="8"/>
        <v>0</v>
      </c>
      <c r="AG102" t="b">
        <f t="shared" si="9"/>
        <v>0</v>
      </c>
    </row>
    <row r="103" spans="1:33" hidden="1" x14ac:dyDescent="0.25">
      <c r="A103" t="s">
        <v>119</v>
      </c>
      <c r="B103">
        <v>31</v>
      </c>
      <c r="C103">
        <v>0</v>
      </c>
      <c r="D103">
        <v>546</v>
      </c>
      <c r="E103">
        <v>549</v>
      </c>
      <c r="F103">
        <v>4334</v>
      </c>
      <c r="G103">
        <v>5050</v>
      </c>
      <c r="H103">
        <v>5100</v>
      </c>
      <c r="I103">
        <v>4390</v>
      </c>
      <c r="J103">
        <f t="shared" si="5"/>
        <v>31</v>
      </c>
      <c r="L103">
        <v>9490</v>
      </c>
      <c r="M103">
        <v>8724</v>
      </c>
      <c r="N103" s="1">
        <v>0.502808095793154</v>
      </c>
      <c r="O103" s="1">
        <v>0.462223164141146</v>
      </c>
      <c r="P103" s="1">
        <v>5.475E-2</v>
      </c>
      <c r="Q103">
        <v>0.44037066739529201</v>
      </c>
      <c r="R103">
        <v>3.0652655448691199E-25</v>
      </c>
      <c r="S103" t="b">
        <v>1</v>
      </c>
      <c r="T103" t="b">
        <v>0</v>
      </c>
      <c r="V103" s="3"/>
      <c r="X103" s="4">
        <f t="shared" si="10"/>
        <v>20000</v>
      </c>
      <c r="AD103" t="b" cm="1">
        <f t="array" ref="AD103">OR(NOT(ISBLANK(Y103:AB103)))</f>
        <v>0</v>
      </c>
      <c r="AE103" t="b">
        <f t="shared" si="7"/>
        <v>0</v>
      </c>
      <c r="AF103" t="b">
        <f t="shared" si="8"/>
        <v>0</v>
      </c>
      <c r="AG103" t="b">
        <f t="shared" si="9"/>
        <v>0</v>
      </c>
    </row>
    <row r="104" spans="1:33" hidden="1" x14ac:dyDescent="0.25">
      <c r="A104" t="s">
        <v>120</v>
      </c>
      <c r="B104">
        <v>19</v>
      </c>
      <c r="C104">
        <v>0</v>
      </c>
      <c r="D104">
        <v>1021</v>
      </c>
      <c r="E104">
        <v>1040</v>
      </c>
      <c r="F104">
        <v>24798</v>
      </c>
      <c r="G104">
        <v>24150</v>
      </c>
      <c r="H104">
        <v>24171</v>
      </c>
      <c r="I104">
        <v>24801</v>
      </c>
      <c r="J104">
        <v>19</v>
      </c>
      <c r="K104">
        <v>0</v>
      </c>
      <c r="L104">
        <v>48972</v>
      </c>
      <c r="M104">
        <v>49599</v>
      </c>
      <c r="N104" s="1">
        <v>0.50012254901960784</v>
      </c>
      <c r="O104" s="1">
        <v>0.5065257352941176</v>
      </c>
      <c r="P104" s="1">
        <v>2.061E-2</v>
      </c>
      <c r="Q104">
        <v>0.93886498982377531</v>
      </c>
      <c r="R104">
        <v>4.4250152784467591E-5</v>
      </c>
      <c r="S104" t="b">
        <v>1</v>
      </c>
      <c r="T104" t="b">
        <v>0</v>
      </c>
      <c r="V104" s="3"/>
      <c r="X104" s="4">
        <f t="shared" si="10"/>
        <v>100000</v>
      </c>
      <c r="AD104" t="b" cm="1">
        <f t="array" ref="AD104">OR(NOT(ISBLANK(Y104:AB104)))</f>
        <v>0</v>
      </c>
      <c r="AE104" t="b">
        <f t="shared" ref="AE104" si="11">OR(NOT(S104),P104&gt;0.1,O104&gt;0.6, O104&lt;0.4,L104&lt;8000,(C104/X104)&gt;0.05, (B104/X104)&gt;0.05)</f>
        <v>0</v>
      </c>
      <c r="AF104" t="b">
        <f t="shared" ref="AF104" si="12">OR(NOT(S104),L104&lt;8000,(C104/X104)&gt;0.05, (B104/X104)&gt;0.05)</f>
        <v>0</v>
      </c>
      <c r="AG104" t="b">
        <f t="shared" ref="AG104" si="13">OR(AND(Q104&lt;=0.15, Q104&gt;0.001), AND(R104&lt;=0.15, R104&gt;0.001))</f>
        <v>0</v>
      </c>
    </row>
    <row r="105" spans="1:33" hidden="1" x14ac:dyDescent="0.25">
      <c r="A105" t="s">
        <v>121</v>
      </c>
      <c r="B105">
        <v>13</v>
      </c>
      <c r="C105">
        <v>764</v>
      </c>
      <c r="D105">
        <v>9743</v>
      </c>
      <c r="E105">
        <v>9653</v>
      </c>
      <c r="F105">
        <v>19760</v>
      </c>
      <c r="G105">
        <v>20087</v>
      </c>
      <c r="H105">
        <v>20129</v>
      </c>
      <c r="I105">
        <v>19851</v>
      </c>
      <c r="J105">
        <f t="shared" si="5"/>
        <v>777</v>
      </c>
      <c r="L105">
        <v>39980</v>
      </c>
      <c r="M105">
        <v>39611</v>
      </c>
      <c r="N105" s="1">
        <v>0.50083305147381207</v>
      </c>
      <c r="O105" s="1">
        <v>0.49621055532589226</v>
      </c>
      <c r="P105" s="1">
        <v>0.19395999999999999</v>
      </c>
      <c r="Q105">
        <v>0.63782979605194257</v>
      </c>
      <c r="R105">
        <v>3.2248679553178776E-2</v>
      </c>
      <c r="S105" t="b">
        <v>1</v>
      </c>
      <c r="T105" t="b">
        <v>0</v>
      </c>
      <c r="V105" s="3"/>
      <c r="X105" s="4">
        <f t="shared" si="10"/>
        <v>100000</v>
      </c>
      <c r="AD105" t="b" cm="1">
        <f t="array" ref="AD105">OR(NOT(ISBLANK(Y105:AB105)))</f>
        <v>0</v>
      </c>
      <c r="AE105" t="b">
        <f t="shared" si="7"/>
        <v>1</v>
      </c>
      <c r="AF105" t="b">
        <f t="shared" si="8"/>
        <v>0</v>
      </c>
      <c r="AG105" t="b">
        <f t="shared" si="9"/>
        <v>1</v>
      </c>
    </row>
    <row r="106" spans="1:33" hidden="1" x14ac:dyDescent="0.25">
      <c r="A106" t="s">
        <v>122</v>
      </c>
      <c r="B106">
        <v>350</v>
      </c>
      <c r="C106">
        <v>0</v>
      </c>
      <c r="D106">
        <v>484</v>
      </c>
      <c r="E106">
        <v>471</v>
      </c>
      <c r="F106">
        <v>4463</v>
      </c>
      <c r="G106">
        <v>4888</v>
      </c>
      <c r="H106">
        <v>4866</v>
      </c>
      <c r="I106">
        <v>4478</v>
      </c>
      <c r="J106">
        <f t="shared" ref="J106:J141" si="14">SUM(B106:C106)</f>
        <v>350</v>
      </c>
      <c r="L106">
        <v>9344</v>
      </c>
      <c r="M106">
        <v>8941</v>
      </c>
      <c r="N106" s="1">
        <v>0.49981278416688901</v>
      </c>
      <c r="O106" s="1">
        <v>0.478256218240171</v>
      </c>
      <c r="P106" s="1">
        <v>4.7750000000000001E-2</v>
      </c>
      <c r="Q106">
        <v>0.959169407318199</v>
      </c>
      <c r="R106">
        <v>2.7470740338640899E-9</v>
      </c>
      <c r="S106" t="b">
        <v>1</v>
      </c>
      <c r="T106" t="b">
        <v>0</v>
      </c>
      <c r="V106" s="3"/>
      <c r="X106" s="4">
        <f t="shared" si="10"/>
        <v>20000</v>
      </c>
      <c r="AD106" t="b" cm="1">
        <f t="array" ref="AD106">OR(NOT(ISBLANK(Y106:AB106)))</f>
        <v>0</v>
      </c>
      <c r="AE106" t="b">
        <f t="shared" si="7"/>
        <v>0</v>
      </c>
      <c r="AF106" t="b">
        <f t="shared" si="8"/>
        <v>0</v>
      </c>
      <c r="AG106" t="b">
        <f t="shared" si="9"/>
        <v>0</v>
      </c>
    </row>
    <row r="107" spans="1:33" hidden="1" x14ac:dyDescent="0.25">
      <c r="A107" t="s">
        <v>123</v>
      </c>
      <c r="B107">
        <v>359</v>
      </c>
      <c r="C107">
        <v>28</v>
      </c>
      <c r="D107">
        <v>491</v>
      </c>
      <c r="E107">
        <v>534</v>
      </c>
      <c r="F107">
        <v>4479</v>
      </c>
      <c r="G107">
        <v>4751</v>
      </c>
      <c r="H107">
        <v>4824</v>
      </c>
      <c r="I107">
        <v>4534</v>
      </c>
      <c r="J107">
        <f t="shared" si="14"/>
        <v>387</v>
      </c>
      <c r="L107">
        <v>9358</v>
      </c>
      <c r="M107">
        <v>9013</v>
      </c>
      <c r="N107" s="1">
        <v>0.503443081557994</v>
      </c>
      <c r="O107" s="1">
        <v>0.48488272003443</v>
      </c>
      <c r="P107" s="1">
        <v>5.1249999999999997E-2</v>
      </c>
      <c r="Q107">
        <v>0.34781061952679498</v>
      </c>
      <c r="R107">
        <v>3.7541155353601401E-5</v>
      </c>
      <c r="S107" t="b">
        <v>1</v>
      </c>
      <c r="T107" t="b">
        <v>0</v>
      </c>
      <c r="V107" s="3"/>
      <c r="X107" s="4">
        <f t="shared" si="10"/>
        <v>20000</v>
      </c>
      <c r="AD107" t="b" cm="1">
        <f t="array" ref="AD107">OR(NOT(ISBLANK(Y107:AB107)))</f>
        <v>0</v>
      </c>
      <c r="AE107" t="b">
        <f t="shared" si="7"/>
        <v>0</v>
      </c>
      <c r="AF107" t="b">
        <f t="shared" si="8"/>
        <v>0</v>
      </c>
      <c r="AG107" t="b">
        <f t="shared" si="9"/>
        <v>0</v>
      </c>
    </row>
    <row r="108" spans="1:33" hidden="1" x14ac:dyDescent="0.25">
      <c r="A108" t="s">
        <v>124</v>
      </c>
      <c r="B108">
        <v>0</v>
      </c>
      <c r="C108">
        <v>0</v>
      </c>
      <c r="D108">
        <v>376</v>
      </c>
      <c r="E108">
        <v>364</v>
      </c>
      <c r="F108">
        <v>15020</v>
      </c>
      <c r="G108">
        <v>14558</v>
      </c>
      <c r="H108">
        <v>14604</v>
      </c>
      <c r="I108">
        <v>15078</v>
      </c>
      <c r="J108">
        <v>0</v>
      </c>
      <c r="K108">
        <v>21</v>
      </c>
      <c r="L108">
        <v>29682</v>
      </c>
      <c r="M108">
        <v>30098</v>
      </c>
      <c r="N108" s="1">
        <v>0.50087748903138707</v>
      </c>
      <c r="O108" s="1">
        <v>0.50789740128248395</v>
      </c>
      <c r="P108" s="1">
        <v>1.2333333333333333E-2</v>
      </c>
      <c r="Q108">
        <v>0.66921842190426506</v>
      </c>
      <c r="R108">
        <v>1.2055817950427263E-4</v>
      </c>
      <c r="S108" t="b">
        <v>1</v>
      </c>
      <c r="T108" t="b">
        <v>0</v>
      </c>
      <c r="V108" s="3"/>
      <c r="X108" s="4">
        <f t="shared" si="10"/>
        <v>60000</v>
      </c>
      <c r="Y108" s="5" t="s">
        <v>167</v>
      </c>
      <c r="Z108" s="5" t="s">
        <v>160</v>
      </c>
      <c r="AD108" t="b" cm="1">
        <f t="array" ref="AD108">OR(NOT(ISBLANK(Y108:AB108)))</f>
        <v>1</v>
      </c>
      <c r="AE108" t="b">
        <f t="shared" si="7"/>
        <v>0</v>
      </c>
      <c r="AF108" t="b">
        <f t="shared" si="8"/>
        <v>0</v>
      </c>
      <c r="AG108" t="b">
        <f t="shared" si="9"/>
        <v>0</v>
      </c>
    </row>
    <row r="109" spans="1:33" hidden="1" x14ac:dyDescent="0.25">
      <c r="A109" t="s">
        <v>125</v>
      </c>
      <c r="B109">
        <v>0</v>
      </c>
      <c r="C109">
        <v>135</v>
      </c>
      <c r="D109">
        <v>0</v>
      </c>
      <c r="E109">
        <v>0</v>
      </c>
      <c r="F109">
        <v>5177</v>
      </c>
      <c r="G109">
        <v>4741</v>
      </c>
      <c r="H109">
        <v>4763</v>
      </c>
      <c r="I109">
        <v>5184</v>
      </c>
      <c r="J109">
        <f t="shared" si="14"/>
        <v>135</v>
      </c>
      <c r="L109">
        <v>9947</v>
      </c>
      <c r="M109">
        <v>10361</v>
      </c>
      <c r="N109" s="1">
        <v>0.50072992700729901</v>
      </c>
      <c r="O109" s="1">
        <v>0.52157060156053303</v>
      </c>
      <c r="P109" s="1">
        <v>0</v>
      </c>
      <c r="Q109">
        <v>0.83698106675442396</v>
      </c>
      <c r="R109">
        <v>1.19837185089948E-9</v>
      </c>
      <c r="S109" t="b">
        <v>1</v>
      </c>
      <c r="T109" t="b">
        <v>0</v>
      </c>
      <c r="V109" s="3"/>
      <c r="X109" s="4">
        <f t="shared" si="10"/>
        <v>20000</v>
      </c>
      <c r="AD109" t="b" cm="1">
        <f t="array" ref="AD109">OR(NOT(ISBLANK(Y109:AB109)))</f>
        <v>0</v>
      </c>
      <c r="AE109" t="b">
        <f t="shared" si="7"/>
        <v>0</v>
      </c>
      <c r="AF109" t="b">
        <f t="shared" si="8"/>
        <v>0</v>
      </c>
      <c r="AG109" t="b">
        <f t="shared" si="9"/>
        <v>0</v>
      </c>
    </row>
    <row r="110" spans="1:33" hidden="1" x14ac:dyDescent="0.25">
      <c r="A110" t="s">
        <v>126</v>
      </c>
      <c r="B110">
        <v>0</v>
      </c>
      <c r="C110">
        <v>0</v>
      </c>
      <c r="D110">
        <v>52</v>
      </c>
      <c r="E110">
        <v>35</v>
      </c>
      <c r="F110">
        <v>5211</v>
      </c>
      <c r="G110">
        <v>4805</v>
      </c>
      <c r="H110">
        <v>4737</v>
      </c>
      <c r="I110">
        <v>5160</v>
      </c>
      <c r="J110">
        <f t="shared" si="14"/>
        <v>0</v>
      </c>
      <c r="L110">
        <v>9897</v>
      </c>
      <c r="M110">
        <v>10371</v>
      </c>
      <c r="N110" s="1">
        <v>0.497012002209611</v>
      </c>
      <c r="O110" s="1">
        <v>0.52081554763219995</v>
      </c>
      <c r="P110" s="1">
        <v>4.3499999999999997E-3</v>
      </c>
      <c r="Q110">
        <v>0.39906446738499002</v>
      </c>
      <c r="R110">
        <v>4.2359282693545897E-9</v>
      </c>
      <c r="S110" t="b">
        <v>1</v>
      </c>
      <c r="T110" t="b">
        <v>0</v>
      </c>
      <c r="V110" s="3"/>
      <c r="X110" s="4">
        <f t="shared" si="10"/>
        <v>20000</v>
      </c>
      <c r="Y110" s="5" t="s">
        <v>167</v>
      </c>
      <c r="Z110" s="5" t="s">
        <v>160</v>
      </c>
      <c r="AD110" t="b" cm="1">
        <f t="array" ref="AD110">OR(NOT(ISBLANK(Y110:AB110)))</f>
        <v>1</v>
      </c>
      <c r="AE110" t="b">
        <f t="shared" si="7"/>
        <v>0</v>
      </c>
      <c r="AF110" t="b">
        <f t="shared" si="8"/>
        <v>0</v>
      </c>
      <c r="AG110" t="b">
        <f t="shared" si="9"/>
        <v>0</v>
      </c>
    </row>
    <row r="111" spans="1:33" hidden="1" x14ac:dyDescent="0.25">
      <c r="A111" t="s">
        <v>127</v>
      </c>
      <c r="B111">
        <v>463</v>
      </c>
      <c r="C111">
        <v>27</v>
      </c>
      <c r="D111">
        <v>1262</v>
      </c>
      <c r="E111">
        <v>1205</v>
      </c>
      <c r="F111">
        <v>34105</v>
      </c>
      <c r="G111">
        <v>34654</v>
      </c>
      <c r="H111">
        <v>34380</v>
      </c>
      <c r="I111">
        <v>33904</v>
      </c>
      <c r="J111">
        <v>490</v>
      </c>
      <c r="K111">
        <v>0</v>
      </c>
      <c r="L111">
        <v>68284</v>
      </c>
      <c r="M111">
        <v>68009</v>
      </c>
      <c r="N111" s="1">
        <v>0.49826696730223363</v>
      </c>
      <c r="O111" s="1">
        <v>0.49626029786271464</v>
      </c>
      <c r="P111" s="1">
        <v>1.7621428571428573E-2</v>
      </c>
      <c r="Q111">
        <v>0.19945220434402006</v>
      </c>
      <c r="R111">
        <v>5.6258922197605903E-3</v>
      </c>
      <c r="S111" t="b">
        <v>1</v>
      </c>
      <c r="T111" t="b">
        <v>0</v>
      </c>
      <c r="V111" s="3"/>
      <c r="X111" s="4">
        <f t="shared" si="10"/>
        <v>140000</v>
      </c>
      <c r="AD111" t="b" cm="1">
        <f t="array" ref="AD111">OR(NOT(ISBLANK(Y111:AB111)))</f>
        <v>0</v>
      </c>
      <c r="AE111" t="b">
        <f t="shared" si="7"/>
        <v>0</v>
      </c>
      <c r="AF111" t="b">
        <f t="shared" si="8"/>
        <v>0</v>
      </c>
      <c r="AG111" t="b">
        <f t="shared" si="9"/>
        <v>1</v>
      </c>
    </row>
    <row r="112" spans="1:33" hidden="1" x14ac:dyDescent="0.25">
      <c r="A112" t="s">
        <v>128</v>
      </c>
      <c r="B112">
        <v>0</v>
      </c>
      <c r="C112">
        <v>0</v>
      </c>
      <c r="D112">
        <v>354</v>
      </c>
      <c r="E112">
        <v>353</v>
      </c>
      <c r="F112">
        <v>3285</v>
      </c>
      <c r="G112">
        <v>6290</v>
      </c>
      <c r="H112">
        <v>6361</v>
      </c>
      <c r="I112">
        <v>3357</v>
      </c>
      <c r="J112">
        <f t="shared" si="14"/>
        <v>0</v>
      </c>
      <c r="L112">
        <v>9718</v>
      </c>
      <c r="M112">
        <v>6642</v>
      </c>
      <c r="N112" s="1">
        <v>0.50370600736018201</v>
      </c>
      <c r="O112" s="1">
        <v>0.34426994246617898</v>
      </c>
      <c r="P112" s="1">
        <v>3.5349999999999999E-2</v>
      </c>
      <c r="Q112">
        <v>0.30323386404085501</v>
      </c>
      <c r="R112">
        <v>0</v>
      </c>
      <c r="S112" t="b">
        <v>1</v>
      </c>
      <c r="T112" t="b">
        <v>0</v>
      </c>
      <c r="V112" s="3"/>
      <c r="X112" s="4">
        <f t="shared" si="10"/>
        <v>20000</v>
      </c>
      <c r="AD112" t="b" cm="1">
        <f t="array" ref="AD112">OR(NOT(ISBLANK(Y112:AB112)))</f>
        <v>0</v>
      </c>
      <c r="AE112" t="b">
        <f t="shared" si="7"/>
        <v>1</v>
      </c>
      <c r="AF112" t="b">
        <f t="shared" si="8"/>
        <v>0</v>
      </c>
      <c r="AG112" t="b">
        <f t="shared" si="9"/>
        <v>0</v>
      </c>
    </row>
    <row r="113" spans="1:35" hidden="1" x14ac:dyDescent="0.25">
      <c r="A113" t="s">
        <v>129</v>
      </c>
      <c r="B113">
        <v>0</v>
      </c>
      <c r="C113">
        <v>0</v>
      </c>
      <c r="D113">
        <v>235</v>
      </c>
      <c r="E113">
        <v>242</v>
      </c>
      <c r="F113">
        <v>14789</v>
      </c>
      <c r="G113">
        <v>15118</v>
      </c>
      <c r="H113">
        <v>14976</v>
      </c>
      <c r="I113">
        <v>14640</v>
      </c>
      <c r="J113">
        <v>0</v>
      </c>
      <c r="K113">
        <v>16</v>
      </c>
      <c r="L113">
        <v>29616</v>
      </c>
      <c r="M113">
        <v>29429</v>
      </c>
      <c r="N113" s="1">
        <v>0.49755556675570789</v>
      </c>
      <c r="O113" s="1">
        <v>0.49441392402936679</v>
      </c>
      <c r="P113" s="1">
        <v>7.9500000000000005E-3</v>
      </c>
      <c r="Q113">
        <v>0.23296605155219727</v>
      </c>
      <c r="R113">
        <v>6.4163843390948154E-3</v>
      </c>
      <c r="S113" t="b">
        <v>1</v>
      </c>
      <c r="T113" t="b">
        <v>0</v>
      </c>
      <c r="V113" s="3"/>
      <c r="X113" s="4">
        <f t="shared" si="10"/>
        <v>60000</v>
      </c>
      <c r="Y113" s="5" t="s">
        <v>167</v>
      </c>
      <c r="Z113" s="5" t="s">
        <v>160</v>
      </c>
      <c r="AD113" t="b" cm="1">
        <f t="array" ref="AD113">OR(NOT(ISBLANK(Y113:AB113)))</f>
        <v>1</v>
      </c>
      <c r="AE113" t="b">
        <f t="shared" si="7"/>
        <v>0</v>
      </c>
      <c r="AF113" t="b">
        <f t="shared" si="8"/>
        <v>0</v>
      </c>
      <c r="AG113" t="b">
        <f t="shared" si="9"/>
        <v>1</v>
      </c>
    </row>
    <row r="114" spans="1:35" hidden="1" x14ac:dyDescent="0.25">
      <c r="A114" t="s">
        <v>130</v>
      </c>
      <c r="B114">
        <v>0</v>
      </c>
      <c r="C114">
        <v>0</v>
      </c>
      <c r="D114">
        <v>0</v>
      </c>
      <c r="E114">
        <v>0</v>
      </c>
      <c r="F114">
        <v>5048</v>
      </c>
      <c r="G114">
        <v>4969</v>
      </c>
      <c r="H114">
        <v>4952</v>
      </c>
      <c r="I114">
        <v>5031</v>
      </c>
      <c r="J114">
        <f t="shared" si="14"/>
        <v>0</v>
      </c>
      <c r="L114">
        <v>9983</v>
      </c>
      <c r="M114">
        <v>10079</v>
      </c>
      <c r="N114" s="1">
        <v>0.49914999999999998</v>
      </c>
      <c r="O114" s="1">
        <v>0.50395000000000001</v>
      </c>
      <c r="P114" s="1">
        <v>0</v>
      </c>
      <c r="Q114">
        <v>0.81000753879819098</v>
      </c>
      <c r="R114">
        <v>0.26389654617930502</v>
      </c>
      <c r="S114" t="b">
        <v>1</v>
      </c>
      <c r="T114" t="b">
        <v>1</v>
      </c>
      <c r="V114" s="3"/>
      <c r="X114" s="4">
        <f t="shared" si="10"/>
        <v>20000</v>
      </c>
      <c r="AD114" t="b" cm="1">
        <f t="array" ref="AD114">OR(NOT(ISBLANK(Y114:AB114)))</f>
        <v>0</v>
      </c>
      <c r="AE114" t="b">
        <f t="shared" si="7"/>
        <v>0</v>
      </c>
      <c r="AF114" t="b">
        <f t="shared" si="8"/>
        <v>0</v>
      </c>
      <c r="AG114" t="b">
        <f t="shared" si="9"/>
        <v>0</v>
      </c>
    </row>
    <row r="115" spans="1:35" hidden="1" x14ac:dyDescent="0.25">
      <c r="A115" t="s">
        <v>131</v>
      </c>
      <c r="B115">
        <v>0</v>
      </c>
      <c r="C115">
        <v>0</v>
      </c>
      <c r="D115">
        <v>1085</v>
      </c>
      <c r="E115">
        <v>1025</v>
      </c>
      <c r="F115">
        <v>5117</v>
      </c>
      <c r="G115">
        <v>3832</v>
      </c>
      <c r="H115">
        <v>3798</v>
      </c>
      <c r="I115">
        <v>5143</v>
      </c>
      <c r="J115">
        <f t="shared" si="14"/>
        <v>0</v>
      </c>
      <c r="L115">
        <v>8941</v>
      </c>
      <c r="M115">
        <v>10260</v>
      </c>
      <c r="N115" s="1">
        <v>0.49977641140301798</v>
      </c>
      <c r="O115" s="1">
        <v>0.57350475125768496</v>
      </c>
      <c r="P115" s="1">
        <v>0.1055</v>
      </c>
      <c r="Q115">
        <v>0.95230575285519703</v>
      </c>
      <c r="R115">
        <v>4.4714842290677201E-86</v>
      </c>
      <c r="S115" t="b">
        <v>1</v>
      </c>
      <c r="T115" t="b">
        <v>0</v>
      </c>
      <c r="V115" s="3"/>
      <c r="X115" s="4">
        <f t="shared" si="10"/>
        <v>20000</v>
      </c>
      <c r="AD115" t="b" cm="1">
        <f t="array" ref="AD115">OR(NOT(ISBLANK(Y115:AB115)))</f>
        <v>0</v>
      </c>
      <c r="AE115" t="b">
        <f t="shared" si="7"/>
        <v>1</v>
      </c>
      <c r="AF115" t="b">
        <f t="shared" si="8"/>
        <v>0</v>
      </c>
      <c r="AG115" t="b">
        <f t="shared" si="9"/>
        <v>0</v>
      </c>
    </row>
    <row r="116" spans="1:35" hidden="1" x14ac:dyDescent="0.25">
      <c r="A116" t="s">
        <v>132</v>
      </c>
      <c r="B116">
        <v>56</v>
      </c>
      <c r="C116">
        <v>806</v>
      </c>
      <c r="D116">
        <v>71</v>
      </c>
      <c r="E116">
        <v>58</v>
      </c>
      <c r="F116">
        <v>4465</v>
      </c>
      <c r="G116">
        <v>5034</v>
      </c>
      <c r="H116">
        <v>5018</v>
      </c>
      <c r="I116">
        <v>4492</v>
      </c>
      <c r="J116">
        <f t="shared" si="14"/>
        <v>862</v>
      </c>
      <c r="L116">
        <v>9510</v>
      </c>
      <c r="M116">
        <v>8957</v>
      </c>
      <c r="N116" s="1">
        <v>0.50028933663001696</v>
      </c>
      <c r="O116" s="1">
        <v>0.47119785364827099</v>
      </c>
      <c r="P116" s="1">
        <v>6.45E-3</v>
      </c>
      <c r="Q116">
        <v>0.93640945262191799</v>
      </c>
      <c r="R116">
        <v>1.9881199243420199E-15</v>
      </c>
      <c r="S116" t="b">
        <v>1</v>
      </c>
      <c r="T116" t="b">
        <v>0</v>
      </c>
      <c r="V116" s="3"/>
      <c r="X116" s="4">
        <f t="shared" si="10"/>
        <v>20000</v>
      </c>
      <c r="AD116" t="b" cm="1">
        <f t="array" ref="AD116">OR(NOT(ISBLANK(Y116:AB116)))</f>
        <v>0</v>
      </c>
      <c r="AE116" t="b">
        <f t="shared" si="7"/>
        <v>0</v>
      </c>
      <c r="AF116" t="b">
        <f t="shared" si="8"/>
        <v>0</v>
      </c>
      <c r="AG116" t="b">
        <f t="shared" si="9"/>
        <v>0</v>
      </c>
    </row>
    <row r="117" spans="1:35" hidden="1" x14ac:dyDescent="0.25">
      <c r="A117" t="s">
        <v>133</v>
      </c>
      <c r="B117">
        <v>0</v>
      </c>
      <c r="C117">
        <v>0</v>
      </c>
      <c r="D117">
        <v>0</v>
      </c>
      <c r="E117">
        <v>1</v>
      </c>
      <c r="F117">
        <v>29857</v>
      </c>
      <c r="G117">
        <v>30223</v>
      </c>
      <c r="H117">
        <v>30143</v>
      </c>
      <c r="I117">
        <v>29776</v>
      </c>
      <c r="J117">
        <v>0</v>
      </c>
      <c r="K117">
        <v>18</v>
      </c>
      <c r="L117">
        <v>59919</v>
      </c>
      <c r="M117">
        <v>59633</v>
      </c>
      <c r="N117" s="1">
        <v>0.49932916107634229</v>
      </c>
      <c r="O117" s="1">
        <v>0.49694580788173237</v>
      </c>
      <c r="P117" s="1">
        <v>8.3333333333333337E-6</v>
      </c>
      <c r="Q117">
        <v>0.64209695910600217</v>
      </c>
      <c r="R117">
        <v>3.4345015667030687E-2</v>
      </c>
      <c r="S117" t="b">
        <v>1</v>
      </c>
      <c r="T117" t="b">
        <v>0</v>
      </c>
      <c r="V117" s="3"/>
      <c r="X117" s="4">
        <f t="shared" si="10"/>
        <v>120000</v>
      </c>
      <c r="AD117" t="b" cm="1">
        <f t="array" ref="AD117">OR(NOT(ISBLANK(Y117:AB117)))</f>
        <v>0</v>
      </c>
      <c r="AE117" t="b">
        <f t="shared" si="7"/>
        <v>0</v>
      </c>
      <c r="AF117" t="b">
        <f t="shared" si="8"/>
        <v>0</v>
      </c>
      <c r="AG117" t="b">
        <f t="shared" si="9"/>
        <v>1</v>
      </c>
      <c r="AI117" s="5" t="s">
        <v>181</v>
      </c>
    </row>
    <row r="118" spans="1:35" hidden="1" x14ac:dyDescent="0.25">
      <c r="A118" t="s">
        <v>134</v>
      </c>
      <c r="B118">
        <v>0</v>
      </c>
      <c r="C118">
        <v>3</v>
      </c>
      <c r="D118">
        <v>14</v>
      </c>
      <c r="E118">
        <v>14</v>
      </c>
      <c r="F118">
        <v>15253</v>
      </c>
      <c r="G118">
        <v>14604</v>
      </c>
      <c r="H118">
        <v>14733</v>
      </c>
      <c r="I118">
        <v>15379</v>
      </c>
      <c r="J118">
        <f t="shared" si="14"/>
        <v>3</v>
      </c>
      <c r="L118">
        <v>30112</v>
      </c>
      <c r="M118">
        <v>30632</v>
      </c>
      <c r="N118" s="1">
        <v>0.50212609848421685</v>
      </c>
      <c r="O118" s="1">
        <v>0.51079724524337577</v>
      </c>
      <c r="P118" s="1">
        <v>4.6666666666666666E-4</v>
      </c>
      <c r="Q118">
        <v>0.29773532597187469</v>
      </c>
      <c r="R118">
        <v>1.2353826438092301E-7</v>
      </c>
      <c r="S118" t="b">
        <v>1</v>
      </c>
      <c r="T118" t="b">
        <v>0</v>
      </c>
      <c r="V118" s="3"/>
      <c r="X118" s="4">
        <f t="shared" si="10"/>
        <v>60000</v>
      </c>
      <c r="AD118" t="b" cm="1">
        <f t="array" ref="AD118">OR(NOT(ISBLANK(Y118:AB118)))</f>
        <v>0</v>
      </c>
      <c r="AE118" t="b">
        <f t="shared" si="7"/>
        <v>0</v>
      </c>
      <c r="AF118" t="b">
        <f t="shared" si="8"/>
        <v>0</v>
      </c>
      <c r="AG118" t="b">
        <f t="shared" si="9"/>
        <v>0</v>
      </c>
    </row>
    <row r="119" spans="1:35" hidden="1" x14ac:dyDescent="0.25">
      <c r="A119" t="s">
        <v>135</v>
      </c>
      <c r="B119">
        <v>0</v>
      </c>
      <c r="C119">
        <v>0</v>
      </c>
      <c r="D119">
        <v>379</v>
      </c>
      <c r="E119">
        <v>370</v>
      </c>
      <c r="F119">
        <v>5402</v>
      </c>
      <c r="G119">
        <v>4248</v>
      </c>
      <c r="H119">
        <v>4219</v>
      </c>
      <c r="I119">
        <v>5382</v>
      </c>
      <c r="J119">
        <f t="shared" si="14"/>
        <v>0</v>
      </c>
      <c r="L119">
        <v>9601</v>
      </c>
      <c r="M119">
        <v>10784</v>
      </c>
      <c r="N119" s="1">
        <v>0.49872733883954001</v>
      </c>
      <c r="O119" s="1">
        <v>0.56017869201599901</v>
      </c>
      <c r="P119" s="1">
        <v>3.7449999999999997E-2</v>
      </c>
      <c r="Q119">
        <v>0.72396975855735102</v>
      </c>
      <c r="R119">
        <v>1.3251574705382701E-62</v>
      </c>
      <c r="S119" t="b">
        <v>1</v>
      </c>
      <c r="T119" t="b">
        <v>0</v>
      </c>
      <c r="V119" s="3"/>
      <c r="X119" s="4">
        <f t="shared" si="10"/>
        <v>20000</v>
      </c>
      <c r="AD119" t="b" cm="1">
        <f t="array" ref="AD119">OR(NOT(ISBLANK(Y119:AB119)))</f>
        <v>0</v>
      </c>
      <c r="AE119" t="b">
        <f t="shared" si="7"/>
        <v>0</v>
      </c>
      <c r="AF119" t="b">
        <f t="shared" si="8"/>
        <v>0</v>
      </c>
      <c r="AG119" t="b">
        <f t="shared" si="9"/>
        <v>0</v>
      </c>
    </row>
    <row r="120" spans="1:35" hidden="1" x14ac:dyDescent="0.25">
      <c r="A120" t="s">
        <v>136</v>
      </c>
      <c r="B120">
        <v>0</v>
      </c>
      <c r="C120">
        <v>0</v>
      </c>
      <c r="D120">
        <v>4094</v>
      </c>
      <c r="E120">
        <v>3924</v>
      </c>
      <c r="F120">
        <v>48269</v>
      </c>
      <c r="G120">
        <v>47570</v>
      </c>
      <c r="H120">
        <v>47637</v>
      </c>
      <c r="I120">
        <v>48506</v>
      </c>
      <c r="J120">
        <v>0</v>
      </c>
      <c r="K120">
        <v>8018</v>
      </c>
      <c r="L120">
        <v>96143</v>
      </c>
      <c r="M120">
        <v>96775</v>
      </c>
      <c r="N120" s="1">
        <v>0.50079174089237499</v>
      </c>
      <c r="O120" s="1">
        <v>0.50408371618172498</v>
      </c>
      <c r="P120" s="1">
        <v>4.0090000000000001E-2</v>
      </c>
      <c r="Q120">
        <v>0.487798592327017</v>
      </c>
      <c r="R120">
        <v>3.4541089378536298E-4</v>
      </c>
      <c r="S120" t="b">
        <v>1</v>
      </c>
      <c r="T120" t="b">
        <v>0</v>
      </c>
      <c r="V120" s="3"/>
      <c r="X120" s="4">
        <f t="shared" si="10"/>
        <v>200000</v>
      </c>
      <c r="AD120" t="b" cm="1">
        <f t="array" ref="AD120">OR(NOT(ISBLANK(Y120:AB120)))</f>
        <v>0</v>
      </c>
      <c r="AE120" t="b">
        <f t="shared" si="7"/>
        <v>0</v>
      </c>
      <c r="AF120" t="b">
        <f t="shared" si="8"/>
        <v>0</v>
      </c>
      <c r="AG120" t="b">
        <f t="shared" si="9"/>
        <v>0</v>
      </c>
    </row>
    <row r="121" spans="1:35" hidden="1" x14ac:dyDescent="0.25">
      <c r="A121" t="s">
        <v>137</v>
      </c>
      <c r="B121">
        <v>0</v>
      </c>
      <c r="C121">
        <v>0</v>
      </c>
      <c r="D121">
        <v>0</v>
      </c>
      <c r="E121">
        <v>0</v>
      </c>
      <c r="F121">
        <v>25553</v>
      </c>
      <c r="G121">
        <v>24611</v>
      </c>
      <c r="H121">
        <v>24447</v>
      </c>
      <c r="I121">
        <v>25389</v>
      </c>
      <c r="J121">
        <v>0</v>
      </c>
      <c r="K121">
        <v>0</v>
      </c>
      <c r="L121">
        <v>49836</v>
      </c>
      <c r="M121">
        <v>50942</v>
      </c>
      <c r="N121" s="1">
        <v>0.49836000000000003</v>
      </c>
      <c r="O121" s="1">
        <v>0.50941999999999998</v>
      </c>
      <c r="P121" s="1">
        <v>0</v>
      </c>
      <c r="Q121">
        <v>0.29963004389082243</v>
      </c>
      <c r="R121">
        <v>2.557638745478014E-9</v>
      </c>
      <c r="S121" t="b">
        <v>1</v>
      </c>
      <c r="T121" t="b">
        <v>0</v>
      </c>
      <c r="V121" s="3"/>
      <c r="X121" s="4">
        <f t="shared" si="10"/>
        <v>100000</v>
      </c>
      <c r="AD121" t="b" cm="1">
        <f t="array" ref="AD121">OR(NOT(ISBLANK(Y121:AB121)))</f>
        <v>0</v>
      </c>
      <c r="AE121" t="b">
        <f t="shared" si="7"/>
        <v>0</v>
      </c>
      <c r="AF121" t="b">
        <f t="shared" si="8"/>
        <v>0</v>
      </c>
      <c r="AG121" t="b">
        <f t="shared" si="9"/>
        <v>0</v>
      </c>
    </row>
    <row r="122" spans="1:35" hidden="1" x14ac:dyDescent="0.25">
      <c r="A122" t="s">
        <v>138</v>
      </c>
      <c r="B122">
        <v>0</v>
      </c>
      <c r="C122">
        <v>0</v>
      </c>
      <c r="D122">
        <v>1115</v>
      </c>
      <c r="E122">
        <v>1059</v>
      </c>
      <c r="F122">
        <v>14815</v>
      </c>
      <c r="G122">
        <v>14138</v>
      </c>
      <c r="H122">
        <v>14070</v>
      </c>
      <c r="I122">
        <v>14803</v>
      </c>
      <c r="J122">
        <v>0</v>
      </c>
      <c r="K122">
        <v>9</v>
      </c>
      <c r="L122">
        <v>28873</v>
      </c>
      <c r="M122">
        <v>29618</v>
      </c>
      <c r="N122" s="1">
        <v>0.49930826963649572</v>
      </c>
      <c r="O122" s="1">
        <v>0.51219174765676334</v>
      </c>
      <c r="P122" s="1">
        <v>3.6233333333333333E-2</v>
      </c>
      <c r="Q122">
        <v>0.73937485445786444</v>
      </c>
      <c r="R122">
        <v>4.5318846124004317E-9</v>
      </c>
      <c r="S122" t="b">
        <v>1</v>
      </c>
      <c r="T122" t="b">
        <v>0</v>
      </c>
      <c r="V122" s="3"/>
      <c r="X122" s="4">
        <f t="shared" si="10"/>
        <v>60000</v>
      </c>
      <c r="Z122" s="5" t="s">
        <v>160</v>
      </c>
      <c r="AD122" t="b" cm="1">
        <f t="array" ref="AD122">OR(NOT(ISBLANK(Y122:AB122)))</f>
        <v>1</v>
      </c>
      <c r="AE122" t="b">
        <f t="shared" si="7"/>
        <v>0</v>
      </c>
      <c r="AF122" t="b">
        <f t="shared" si="8"/>
        <v>0</v>
      </c>
      <c r="AG122" t="b">
        <f t="shared" si="9"/>
        <v>0</v>
      </c>
    </row>
    <row r="123" spans="1:35" hidden="1" x14ac:dyDescent="0.25">
      <c r="A123" t="s">
        <v>139</v>
      </c>
      <c r="B123">
        <v>0</v>
      </c>
      <c r="C123">
        <v>0</v>
      </c>
      <c r="D123">
        <v>700</v>
      </c>
      <c r="E123">
        <v>676</v>
      </c>
      <c r="F123">
        <v>4706</v>
      </c>
      <c r="G123">
        <v>4664</v>
      </c>
      <c r="H123">
        <v>4594</v>
      </c>
      <c r="I123">
        <v>4660</v>
      </c>
      <c r="J123">
        <f t="shared" si="14"/>
        <v>0</v>
      </c>
      <c r="L123">
        <v>9254</v>
      </c>
      <c r="M123">
        <v>9366</v>
      </c>
      <c r="N123" s="1">
        <v>0.49688573883161502</v>
      </c>
      <c r="O123" s="1">
        <v>0.50289948453608202</v>
      </c>
      <c r="P123" s="1">
        <v>6.88E-2</v>
      </c>
      <c r="Q123">
        <v>0.39532227662882102</v>
      </c>
      <c r="R123">
        <v>0.42871993485516202</v>
      </c>
      <c r="S123" t="b">
        <v>1</v>
      </c>
      <c r="T123" t="b">
        <v>1</v>
      </c>
      <c r="V123" s="3"/>
      <c r="X123" s="4">
        <f t="shared" si="10"/>
        <v>20000</v>
      </c>
      <c r="AD123" t="b" cm="1">
        <f t="array" ref="AD123">OR(NOT(ISBLANK(Y123:AB123)))</f>
        <v>0</v>
      </c>
      <c r="AE123" t="b">
        <f t="shared" si="7"/>
        <v>0</v>
      </c>
      <c r="AF123" t="b">
        <f t="shared" si="8"/>
        <v>0</v>
      </c>
      <c r="AG123" t="b">
        <f t="shared" si="9"/>
        <v>0</v>
      </c>
    </row>
    <row r="124" spans="1:35" hidden="1" x14ac:dyDescent="0.25">
      <c r="A124" t="s">
        <v>140</v>
      </c>
      <c r="B124">
        <v>0</v>
      </c>
      <c r="C124">
        <v>0</v>
      </c>
      <c r="D124">
        <v>3</v>
      </c>
      <c r="E124">
        <v>7</v>
      </c>
      <c r="F124">
        <v>4951</v>
      </c>
      <c r="G124">
        <v>4982</v>
      </c>
      <c r="H124">
        <v>5046</v>
      </c>
      <c r="I124">
        <v>5011</v>
      </c>
      <c r="J124">
        <f t="shared" si="14"/>
        <v>0</v>
      </c>
      <c r="L124">
        <v>10057</v>
      </c>
      <c r="M124">
        <v>9962</v>
      </c>
      <c r="N124" s="1">
        <v>0.50310155077538699</v>
      </c>
      <c r="O124" s="1">
        <v>0.498349174587293</v>
      </c>
      <c r="P124" s="1">
        <v>5.0000000000000001E-4</v>
      </c>
      <c r="Q124">
        <v>0.38046942347232299</v>
      </c>
      <c r="R124">
        <v>0.64063782984832696</v>
      </c>
      <c r="S124" t="b">
        <v>1</v>
      </c>
      <c r="T124" t="b">
        <v>1</v>
      </c>
      <c r="V124" s="3"/>
      <c r="X124" s="4">
        <f t="shared" si="10"/>
        <v>20000</v>
      </c>
      <c r="AD124" t="b" cm="1">
        <f t="array" ref="AD124">OR(NOT(ISBLANK(Y124:AB124)))</f>
        <v>0</v>
      </c>
      <c r="AE124" t="b">
        <f t="shared" si="7"/>
        <v>0</v>
      </c>
      <c r="AF124" t="b">
        <f t="shared" si="8"/>
        <v>0</v>
      </c>
      <c r="AG124" t="b">
        <f t="shared" si="9"/>
        <v>0</v>
      </c>
    </row>
    <row r="125" spans="1:35" hidden="1" x14ac:dyDescent="0.25">
      <c r="A125" t="s">
        <v>141</v>
      </c>
      <c r="B125">
        <v>0</v>
      </c>
      <c r="C125">
        <v>0</v>
      </c>
      <c r="D125">
        <v>635</v>
      </c>
      <c r="E125">
        <v>640</v>
      </c>
      <c r="F125">
        <v>4101</v>
      </c>
      <c r="G125">
        <v>5216</v>
      </c>
      <c r="H125">
        <v>5264</v>
      </c>
      <c r="I125">
        <v>4144</v>
      </c>
      <c r="J125">
        <f t="shared" si="14"/>
        <v>0</v>
      </c>
      <c r="L125">
        <v>9408</v>
      </c>
      <c r="M125">
        <v>8245</v>
      </c>
      <c r="N125" s="1">
        <v>0.50242990654205599</v>
      </c>
      <c r="O125" s="1">
        <v>0.44032042723631498</v>
      </c>
      <c r="P125" s="1">
        <v>6.3750000000000001E-2</v>
      </c>
      <c r="Q125">
        <v>0.50604184138272401</v>
      </c>
      <c r="R125">
        <v>5.7463559968612205E-60</v>
      </c>
      <c r="S125" t="b">
        <v>1</v>
      </c>
      <c r="T125" t="b">
        <v>0</v>
      </c>
      <c r="V125" s="3"/>
      <c r="X125" s="4">
        <f t="shared" si="10"/>
        <v>20000</v>
      </c>
      <c r="AD125" t="b" cm="1">
        <f t="array" ref="AD125">OR(NOT(ISBLANK(Y125:AB125)))</f>
        <v>0</v>
      </c>
      <c r="AE125" t="b">
        <f t="shared" si="7"/>
        <v>0</v>
      </c>
      <c r="AF125" t="b">
        <f t="shared" si="8"/>
        <v>0</v>
      </c>
      <c r="AG125" t="b">
        <f t="shared" si="9"/>
        <v>0</v>
      </c>
    </row>
    <row r="126" spans="1:35" hidden="1" x14ac:dyDescent="0.25">
      <c r="A126" t="s">
        <v>142</v>
      </c>
      <c r="B126">
        <v>279</v>
      </c>
      <c r="C126">
        <v>157</v>
      </c>
      <c r="D126">
        <v>0</v>
      </c>
      <c r="E126">
        <v>0</v>
      </c>
      <c r="F126">
        <v>14438</v>
      </c>
      <c r="G126">
        <v>15196</v>
      </c>
      <c r="H126">
        <v>15326</v>
      </c>
      <c r="I126">
        <v>14604</v>
      </c>
      <c r="J126">
        <f t="shared" si="14"/>
        <v>436</v>
      </c>
      <c r="L126">
        <v>29930</v>
      </c>
      <c r="M126">
        <v>29042</v>
      </c>
      <c r="N126" s="1">
        <v>0.50248472231549257</v>
      </c>
      <c r="O126" s="1">
        <v>0.48757638842253709</v>
      </c>
      <c r="P126" s="1">
        <v>0</v>
      </c>
      <c r="Q126">
        <v>0.22519498036581972</v>
      </c>
      <c r="R126">
        <v>1.3265500835604142E-9</v>
      </c>
      <c r="S126" t="b">
        <v>1</v>
      </c>
      <c r="T126" t="b">
        <v>0</v>
      </c>
      <c r="V126" s="3"/>
      <c r="X126" s="4">
        <f t="shared" si="10"/>
        <v>60000</v>
      </c>
      <c r="AD126" t="b" cm="1">
        <f t="array" ref="AD126">OR(NOT(ISBLANK(Y126:AB126)))</f>
        <v>0</v>
      </c>
      <c r="AE126" t="b">
        <f t="shared" si="7"/>
        <v>0</v>
      </c>
      <c r="AF126" t="b">
        <f t="shared" si="8"/>
        <v>0</v>
      </c>
      <c r="AG126" t="b">
        <f t="shared" si="9"/>
        <v>0</v>
      </c>
    </row>
    <row r="127" spans="1:35" hidden="1" x14ac:dyDescent="0.25">
      <c r="A127" s="11" t="s">
        <v>143</v>
      </c>
      <c r="B127">
        <v>111</v>
      </c>
      <c r="C127">
        <v>0</v>
      </c>
      <c r="D127">
        <v>1122</v>
      </c>
      <c r="E127">
        <v>1146</v>
      </c>
      <c r="F127">
        <v>3412</v>
      </c>
      <c r="G127">
        <v>5418</v>
      </c>
      <c r="H127">
        <v>5410</v>
      </c>
      <c r="I127">
        <v>3381</v>
      </c>
      <c r="J127">
        <f t="shared" si="14"/>
        <v>111</v>
      </c>
      <c r="L127">
        <v>8791</v>
      </c>
      <c r="M127">
        <v>6793</v>
      </c>
      <c r="N127" s="1">
        <v>0.498893365870268</v>
      </c>
      <c r="O127" s="1">
        <v>0.385505930423926</v>
      </c>
      <c r="P127" s="1">
        <v>0.1134</v>
      </c>
      <c r="Q127">
        <v>0.76891200683573302</v>
      </c>
      <c r="R127">
        <v>6.0496120986382701E-203</v>
      </c>
      <c r="S127" t="b">
        <v>1</v>
      </c>
      <c r="T127" t="b">
        <v>0</v>
      </c>
      <c r="V127" s="3"/>
      <c r="X127" s="4">
        <f t="shared" si="10"/>
        <v>20000</v>
      </c>
      <c r="AD127" t="b" cm="1">
        <f t="array" ref="AD127">OR(NOT(ISBLANK(Y127:AB127)))</f>
        <v>0</v>
      </c>
      <c r="AE127" t="b">
        <f t="shared" si="7"/>
        <v>1</v>
      </c>
      <c r="AF127" t="b">
        <f t="shared" si="8"/>
        <v>0</v>
      </c>
      <c r="AG127" t="b">
        <f t="shared" si="9"/>
        <v>0</v>
      </c>
    </row>
    <row r="128" spans="1:35" hidden="1" x14ac:dyDescent="0.25">
      <c r="A128" t="s">
        <v>144</v>
      </c>
      <c r="B128">
        <v>193</v>
      </c>
      <c r="C128">
        <v>0</v>
      </c>
      <c r="D128">
        <v>358</v>
      </c>
      <c r="E128">
        <v>359</v>
      </c>
      <c r="F128">
        <v>5934</v>
      </c>
      <c r="G128">
        <v>3624</v>
      </c>
      <c r="H128">
        <v>3615</v>
      </c>
      <c r="I128">
        <v>5917</v>
      </c>
      <c r="J128">
        <f t="shared" si="14"/>
        <v>193</v>
      </c>
      <c r="L128">
        <v>9532</v>
      </c>
      <c r="M128">
        <v>11851</v>
      </c>
      <c r="N128" s="1">
        <v>0.49931901519119898</v>
      </c>
      <c r="O128" s="1">
        <v>0.62079622839182802</v>
      </c>
      <c r="P128" s="1">
        <v>3.585E-2</v>
      </c>
      <c r="Q128">
        <v>0.85073659637311605</v>
      </c>
      <c r="R128">
        <v>2.67490426608691E-244</v>
      </c>
      <c r="S128" t="b">
        <v>1</v>
      </c>
      <c r="T128" t="b">
        <v>0</v>
      </c>
      <c r="V128" s="3"/>
      <c r="X128" s="4">
        <f t="shared" si="10"/>
        <v>20000</v>
      </c>
      <c r="AD128" t="b" cm="1">
        <f t="array" ref="AD128">OR(NOT(ISBLANK(Y128:AB128)))</f>
        <v>0</v>
      </c>
      <c r="AE128" t="b">
        <f t="shared" si="7"/>
        <v>1</v>
      </c>
      <c r="AF128" t="b">
        <f t="shared" si="8"/>
        <v>0</v>
      </c>
      <c r="AG128" t="b">
        <f t="shared" si="9"/>
        <v>0</v>
      </c>
    </row>
    <row r="129" spans="1:33" hidden="1" x14ac:dyDescent="0.25">
      <c r="A129" t="s">
        <v>145</v>
      </c>
      <c r="B129">
        <v>0</v>
      </c>
      <c r="C129">
        <v>0</v>
      </c>
      <c r="D129">
        <v>0</v>
      </c>
      <c r="E129">
        <v>0</v>
      </c>
      <c r="F129">
        <v>25342</v>
      </c>
      <c r="G129">
        <v>24477</v>
      </c>
      <c r="H129">
        <v>24658</v>
      </c>
      <c r="I129">
        <v>25523</v>
      </c>
      <c r="J129">
        <v>0</v>
      </c>
      <c r="K129">
        <v>0</v>
      </c>
      <c r="L129">
        <v>50181</v>
      </c>
      <c r="M129">
        <v>50865</v>
      </c>
      <c r="N129" s="1">
        <v>0.50180999999999998</v>
      </c>
      <c r="O129" s="1">
        <v>0.50865000000000005</v>
      </c>
      <c r="P129" s="1">
        <v>0</v>
      </c>
      <c r="Q129">
        <v>0.25231500642429311</v>
      </c>
      <c r="R129">
        <v>4.4815946870970064E-8</v>
      </c>
      <c r="S129" t="b">
        <v>1</v>
      </c>
      <c r="T129" t="b">
        <v>0</v>
      </c>
      <c r="V129" s="3"/>
      <c r="X129" s="4">
        <f t="shared" si="10"/>
        <v>100000</v>
      </c>
      <c r="AD129" t="b" cm="1">
        <f t="array" ref="AD129">OR(NOT(ISBLANK(Y129:AB129)))</f>
        <v>0</v>
      </c>
      <c r="AE129" t="b">
        <f t="shared" si="7"/>
        <v>0</v>
      </c>
      <c r="AF129" t="b">
        <f t="shared" si="8"/>
        <v>0</v>
      </c>
      <c r="AG129" t="b">
        <f t="shared" si="9"/>
        <v>0</v>
      </c>
    </row>
    <row r="130" spans="1:33" hidden="1" x14ac:dyDescent="0.25">
      <c r="A130" t="s">
        <v>146</v>
      </c>
      <c r="B130">
        <v>0</v>
      </c>
      <c r="C130">
        <v>0</v>
      </c>
      <c r="D130">
        <v>0</v>
      </c>
      <c r="E130">
        <v>0</v>
      </c>
      <c r="F130">
        <v>5211</v>
      </c>
      <c r="G130">
        <v>4735</v>
      </c>
      <c r="H130">
        <v>4789</v>
      </c>
      <c r="I130">
        <v>5265</v>
      </c>
      <c r="J130">
        <f t="shared" si="14"/>
        <v>0</v>
      </c>
      <c r="L130">
        <v>10054</v>
      </c>
      <c r="M130">
        <v>10476</v>
      </c>
      <c r="N130" s="1">
        <v>0.50270000000000004</v>
      </c>
      <c r="O130" s="1">
        <v>0.52380000000000004</v>
      </c>
      <c r="P130" s="1">
        <v>0</v>
      </c>
      <c r="Q130">
        <v>0.44506074954360902</v>
      </c>
      <c r="R130">
        <v>1.67742211358895E-11</v>
      </c>
      <c r="S130" t="b">
        <v>1</v>
      </c>
      <c r="T130" t="b">
        <v>0</v>
      </c>
      <c r="V130" s="3"/>
      <c r="X130" s="4">
        <f t="shared" ref="X130:X142" si="15">SUM(B130:I130)</f>
        <v>20000</v>
      </c>
      <c r="AD130" t="b" cm="1">
        <f t="array" ref="AD130">OR(NOT(ISBLANK(Y130:AB130)))</f>
        <v>0</v>
      </c>
      <c r="AE130" t="b">
        <f t="shared" si="7"/>
        <v>0</v>
      </c>
      <c r="AF130" t="b">
        <f t="shared" si="8"/>
        <v>0</v>
      </c>
      <c r="AG130" t="b">
        <f t="shared" si="9"/>
        <v>0</v>
      </c>
    </row>
    <row r="131" spans="1:33" hidden="1" x14ac:dyDescent="0.25">
      <c r="A131" t="s">
        <v>147</v>
      </c>
      <c r="B131">
        <v>0</v>
      </c>
      <c r="C131">
        <v>0</v>
      </c>
      <c r="D131">
        <v>21</v>
      </c>
      <c r="E131">
        <v>23</v>
      </c>
      <c r="F131">
        <v>5307</v>
      </c>
      <c r="G131">
        <v>4721</v>
      </c>
      <c r="H131">
        <v>4672</v>
      </c>
      <c r="I131">
        <v>5256</v>
      </c>
      <c r="J131">
        <f t="shared" si="14"/>
        <v>0</v>
      </c>
      <c r="L131">
        <v>9928</v>
      </c>
      <c r="M131">
        <v>10563</v>
      </c>
      <c r="N131" s="1">
        <v>0.49749448787332101</v>
      </c>
      <c r="O131" s="1">
        <v>0.52931449188213997</v>
      </c>
      <c r="P131" s="1">
        <v>2.2000000000000001E-3</v>
      </c>
      <c r="Q131">
        <v>0.47901612618858203</v>
      </c>
      <c r="R131">
        <v>1.20854439724317E-16</v>
      </c>
      <c r="S131" t="b">
        <v>1</v>
      </c>
      <c r="T131" t="b">
        <v>0</v>
      </c>
      <c r="V131" s="3"/>
      <c r="X131" s="4">
        <f t="shared" si="15"/>
        <v>20000</v>
      </c>
      <c r="AD131" t="b" cm="1">
        <f t="array" ref="AD131">OR(NOT(ISBLANK(Y131:AB131)))</f>
        <v>0</v>
      </c>
      <c r="AE131" t="b">
        <f t="shared" ref="AE131:AE142" si="16">OR(NOT(S131),P131&gt;0.1,O131&gt;0.6, O131&lt;0.4,L131&lt;8000,(C131/X131)&gt;0.05, (B131/X131)&gt;0.05)</f>
        <v>0</v>
      </c>
      <c r="AF131" t="b">
        <f t="shared" ref="AF131:AF142" si="17">OR(NOT(S131),L131&lt;8000,(C131/X131)&gt;0.05, (B131/X131)&gt;0.05)</f>
        <v>0</v>
      </c>
      <c r="AG131" t="b">
        <f t="shared" ref="AG131:AG142" si="18">OR(AND(Q131&lt;=0.15, Q131&gt;0.001), AND(R131&lt;=0.15, R131&gt;0.001))</f>
        <v>0</v>
      </c>
    </row>
    <row r="132" spans="1:33" hidden="1" x14ac:dyDescent="0.25">
      <c r="A132" t="s">
        <v>148</v>
      </c>
      <c r="B132">
        <v>669</v>
      </c>
      <c r="C132">
        <v>0</v>
      </c>
      <c r="D132">
        <v>935</v>
      </c>
      <c r="E132">
        <v>949</v>
      </c>
      <c r="F132">
        <v>4368</v>
      </c>
      <c r="G132">
        <v>4404</v>
      </c>
      <c r="H132">
        <v>4362</v>
      </c>
      <c r="I132">
        <v>4313</v>
      </c>
      <c r="J132">
        <f t="shared" si="14"/>
        <v>669</v>
      </c>
      <c r="L132">
        <v>8675</v>
      </c>
      <c r="M132">
        <v>8681</v>
      </c>
      <c r="N132" s="1">
        <v>0.49722015246174101</v>
      </c>
      <c r="O132" s="1">
        <v>0.497564051126268</v>
      </c>
      <c r="P132" s="1">
        <v>9.4200000000000006E-2</v>
      </c>
      <c r="Q132">
        <v>0.462726947236349</v>
      </c>
      <c r="R132">
        <v>0.51989010915113698</v>
      </c>
      <c r="S132" t="b">
        <v>1</v>
      </c>
      <c r="T132" t="b">
        <v>1</v>
      </c>
      <c r="V132" s="3"/>
      <c r="X132" s="4">
        <f t="shared" si="15"/>
        <v>20000</v>
      </c>
      <c r="AD132" t="b" cm="1">
        <f t="array" ref="AD132">OR(NOT(ISBLANK(Y132:AB132)))</f>
        <v>0</v>
      </c>
      <c r="AE132" t="b">
        <f t="shared" si="16"/>
        <v>0</v>
      </c>
      <c r="AF132" t="b">
        <f t="shared" si="17"/>
        <v>0</v>
      </c>
      <c r="AG132" t="b">
        <f t="shared" si="18"/>
        <v>0</v>
      </c>
    </row>
    <row r="133" spans="1:33" hidden="1" x14ac:dyDescent="0.25">
      <c r="A133" t="s">
        <v>149</v>
      </c>
      <c r="B133">
        <v>0</v>
      </c>
      <c r="C133">
        <v>0</v>
      </c>
      <c r="D133">
        <v>243</v>
      </c>
      <c r="E133">
        <v>223</v>
      </c>
      <c r="F133">
        <v>5238</v>
      </c>
      <c r="G133">
        <v>4494</v>
      </c>
      <c r="H133">
        <v>4519</v>
      </c>
      <c r="I133">
        <v>5283</v>
      </c>
      <c r="J133">
        <f t="shared" si="14"/>
        <v>0</v>
      </c>
      <c r="L133">
        <v>9802</v>
      </c>
      <c r="M133">
        <v>10521</v>
      </c>
      <c r="N133" s="1">
        <v>0.50179174772192003</v>
      </c>
      <c r="O133" s="1">
        <v>0.53859936520937801</v>
      </c>
      <c r="P133" s="1">
        <v>2.3300000000000001E-2</v>
      </c>
      <c r="Q133">
        <v>0.61648093859743303</v>
      </c>
      <c r="R133">
        <v>3.8542135134396702E-27</v>
      </c>
      <c r="S133" t="b">
        <v>1</v>
      </c>
      <c r="T133" t="b">
        <v>0</v>
      </c>
      <c r="V133" s="3"/>
      <c r="X133" s="4">
        <f t="shared" si="15"/>
        <v>20000</v>
      </c>
      <c r="AD133" t="b" cm="1">
        <f t="array" ref="AD133">OR(NOT(ISBLANK(Y133:AB133)))</f>
        <v>0</v>
      </c>
      <c r="AE133" t="b">
        <f t="shared" si="16"/>
        <v>0</v>
      </c>
      <c r="AF133" t="b">
        <f t="shared" si="17"/>
        <v>0</v>
      </c>
      <c r="AG133" t="b">
        <f t="shared" si="18"/>
        <v>0</v>
      </c>
    </row>
    <row r="134" spans="1:33" hidden="1" x14ac:dyDescent="0.25">
      <c r="A134" t="s">
        <v>150</v>
      </c>
      <c r="B134">
        <v>0</v>
      </c>
      <c r="C134">
        <v>0</v>
      </c>
      <c r="D134">
        <v>243</v>
      </c>
      <c r="E134">
        <v>232</v>
      </c>
      <c r="F134">
        <v>5347</v>
      </c>
      <c r="G134">
        <v>4342</v>
      </c>
      <c r="H134">
        <v>4410</v>
      </c>
      <c r="I134">
        <v>5426</v>
      </c>
      <c r="J134">
        <f t="shared" si="14"/>
        <v>0</v>
      </c>
      <c r="L134">
        <v>9836</v>
      </c>
      <c r="M134">
        <v>10773</v>
      </c>
      <c r="N134" s="1">
        <v>0.50376440460947502</v>
      </c>
      <c r="O134" s="1">
        <v>0.55175416133162603</v>
      </c>
      <c r="P134" s="1">
        <v>2.375E-2</v>
      </c>
      <c r="Q134">
        <v>0.29279279963295402</v>
      </c>
      <c r="R134">
        <v>2.06308250661346E-47</v>
      </c>
      <c r="S134" t="b">
        <v>1</v>
      </c>
      <c r="T134" t="b">
        <v>0</v>
      </c>
      <c r="V134" s="3"/>
      <c r="X134" s="4">
        <f t="shared" si="15"/>
        <v>20000</v>
      </c>
      <c r="AD134" t="b" cm="1">
        <f t="array" ref="AD134">OR(NOT(ISBLANK(Y134:AB134)))</f>
        <v>0</v>
      </c>
      <c r="AE134" t="b">
        <f t="shared" si="16"/>
        <v>0</v>
      </c>
      <c r="AF134" t="b">
        <f t="shared" si="17"/>
        <v>0</v>
      </c>
      <c r="AG134" t="b">
        <f t="shared" si="18"/>
        <v>0</v>
      </c>
    </row>
    <row r="135" spans="1:33" hidden="1" x14ac:dyDescent="0.25">
      <c r="A135" t="s">
        <v>151</v>
      </c>
      <c r="B135">
        <v>0</v>
      </c>
      <c r="C135">
        <v>0</v>
      </c>
      <c r="D135">
        <v>1155</v>
      </c>
      <c r="E135">
        <v>1178</v>
      </c>
      <c r="F135">
        <v>4434</v>
      </c>
      <c r="G135">
        <v>4452</v>
      </c>
      <c r="H135">
        <v>4411</v>
      </c>
      <c r="I135">
        <v>4370</v>
      </c>
      <c r="J135">
        <f t="shared" si="14"/>
        <v>0</v>
      </c>
      <c r="L135">
        <v>8781</v>
      </c>
      <c r="M135">
        <v>8804</v>
      </c>
      <c r="N135" s="1">
        <v>0.49702835795550998</v>
      </c>
      <c r="O135" s="1">
        <v>0.498330220184524</v>
      </c>
      <c r="P135" s="1">
        <v>0.11665</v>
      </c>
      <c r="Q135">
        <v>0.42954816151545999</v>
      </c>
      <c r="R135">
        <v>0.65712562812411202</v>
      </c>
      <c r="S135" t="b">
        <v>1</v>
      </c>
      <c r="T135" t="b">
        <v>1</v>
      </c>
      <c r="V135" s="3"/>
      <c r="X135" s="4">
        <f t="shared" si="15"/>
        <v>20000</v>
      </c>
      <c r="Y135" s="5" t="s">
        <v>167</v>
      </c>
      <c r="Z135" s="5" t="s">
        <v>160</v>
      </c>
      <c r="AD135" t="b" cm="1">
        <f t="array" ref="AD135">OR(NOT(ISBLANK(Y135:AB135)))</f>
        <v>1</v>
      </c>
      <c r="AE135" t="b">
        <f t="shared" si="16"/>
        <v>1</v>
      </c>
      <c r="AF135" t="b">
        <f t="shared" si="17"/>
        <v>0</v>
      </c>
      <c r="AG135" t="b">
        <f t="shared" si="18"/>
        <v>0</v>
      </c>
    </row>
    <row r="136" spans="1:33" hidden="1" x14ac:dyDescent="0.25">
      <c r="A136" t="s">
        <v>152</v>
      </c>
      <c r="B136">
        <v>0</v>
      </c>
      <c r="C136">
        <v>0</v>
      </c>
      <c r="D136">
        <v>688</v>
      </c>
      <c r="E136">
        <v>677</v>
      </c>
      <c r="F136">
        <v>4696</v>
      </c>
      <c r="G136">
        <v>4694</v>
      </c>
      <c r="H136">
        <v>4616</v>
      </c>
      <c r="I136">
        <v>4629</v>
      </c>
      <c r="J136">
        <f t="shared" si="14"/>
        <v>0</v>
      </c>
      <c r="L136">
        <v>9245</v>
      </c>
      <c r="M136">
        <v>9325</v>
      </c>
      <c r="N136" s="1">
        <v>0.49610947142473799</v>
      </c>
      <c r="O136" s="1">
        <v>0.50040246847330205</v>
      </c>
      <c r="P136" s="1">
        <v>6.8250000000000005E-2</v>
      </c>
      <c r="Q136">
        <v>0.288148222817665</v>
      </c>
      <c r="R136">
        <v>0.91250295701775497</v>
      </c>
      <c r="S136" t="b">
        <v>1</v>
      </c>
      <c r="T136" t="b">
        <v>1</v>
      </c>
      <c r="V136" s="3"/>
      <c r="X136" s="4">
        <f t="shared" si="15"/>
        <v>20000</v>
      </c>
      <c r="AD136" t="b" cm="1">
        <f t="array" ref="AD136">OR(NOT(ISBLANK(Y136:AB136)))</f>
        <v>0</v>
      </c>
      <c r="AE136" t="b">
        <f t="shared" si="16"/>
        <v>0</v>
      </c>
      <c r="AF136" t="b">
        <f t="shared" si="17"/>
        <v>0</v>
      </c>
      <c r="AG136" t="b">
        <f t="shared" si="18"/>
        <v>0</v>
      </c>
    </row>
    <row r="137" spans="1:33" hidden="1" x14ac:dyDescent="0.25">
      <c r="A137" t="s">
        <v>153</v>
      </c>
      <c r="B137">
        <v>0</v>
      </c>
      <c r="C137">
        <v>0</v>
      </c>
      <c r="D137">
        <v>1589</v>
      </c>
      <c r="E137">
        <v>1484</v>
      </c>
      <c r="F137">
        <v>4815</v>
      </c>
      <c r="G137">
        <v>3567</v>
      </c>
      <c r="H137">
        <v>3596</v>
      </c>
      <c r="I137">
        <v>4949</v>
      </c>
      <c r="J137">
        <f t="shared" si="14"/>
        <v>0</v>
      </c>
      <c r="L137">
        <v>8545</v>
      </c>
      <c r="M137">
        <v>9764</v>
      </c>
      <c r="N137" s="1">
        <v>0.50481479293436504</v>
      </c>
      <c r="O137" s="1">
        <v>0.57682991670112804</v>
      </c>
      <c r="P137" s="1">
        <v>0.15365000000000001</v>
      </c>
      <c r="Q137">
        <v>0.21026184481923699</v>
      </c>
      <c r="R137">
        <v>6.5003975746347902E-89</v>
      </c>
      <c r="S137" t="b">
        <v>1</v>
      </c>
      <c r="T137" t="b">
        <v>0</v>
      </c>
      <c r="V137" s="3"/>
      <c r="X137" s="4">
        <f t="shared" si="15"/>
        <v>20000</v>
      </c>
      <c r="AD137" t="b" cm="1">
        <f t="array" ref="AD137">OR(NOT(ISBLANK(Y137:AB137)))</f>
        <v>0</v>
      </c>
      <c r="AE137" t="b">
        <f t="shared" si="16"/>
        <v>1</v>
      </c>
      <c r="AF137" t="b">
        <f t="shared" si="17"/>
        <v>0</v>
      </c>
      <c r="AG137" t="b">
        <f t="shared" si="18"/>
        <v>0</v>
      </c>
    </row>
    <row r="138" spans="1:33" hidden="1" x14ac:dyDescent="0.25">
      <c r="A138" t="s">
        <v>154</v>
      </c>
      <c r="B138">
        <v>0</v>
      </c>
      <c r="C138">
        <v>0</v>
      </c>
      <c r="D138">
        <v>858</v>
      </c>
      <c r="E138">
        <v>838</v>
      </c>
      <c r="F138">
        <v>5635</v>
      </c>
      <c r="G138">
        <v>3528</v>
      </c>
      <c r="H138">
        <v>3507</v>
      </c>
      <c r="I138">
        <v>5634</v>
      </c>
      <c r="J138">
        <f t="shared" si="14"/>
        <v>0</v>
      </c>
      <c r="L138">
        <v>9141</v>
      </c>
      <c r="M138">
        <v>11269</v>
      </c>
      <c r="N138" s="1">
        <v>0.49939903846153799</v>
      </c>
      <c r="O138" s="1">
        <v>0.61565777972027902</v>
      </c>
      <c r="P138" s="1">
        <v>8.48E-2</v>
      </c>
      <c r="Q138">
        <v>0.87082479726471496</v>
      </c>
      <c r="R138">
        <v>5.4220872916070002E-215</v>
      </c>
      <c r="S138" t="b">
        <v>1</v>
      </c>
      <c r="T138" t="b">
        <v>0</v>
      </c>
      <c r="V138" s="3"/>
      <c r="X138" s="4">
        <f t="shared" si="15"/>
        <v>20000</v>
      </c>
      <c r="AD138" t="b" cm="1">
        <f t="array" ref="AD138">OR(NOT(ISBLANK(Y138:AB138)))</f>
        <v>0</v>
      </c>
      <c r="AE138" t="b">
        <f t="shared" si="16"/>
        <v>1</v>
      </c>
      <c r="AF138" t="b">
        <f t="shared" si="17"/>
        <v>0</v>
      </c>
      <c r="AG138" t="b">
        <f t="shared" si="18"/>
        <v>0</v>
      </c>
    </row>
    <row r="139" spans="1:33" hidden="1" x14ac:dyDescent="0.25">
      <c r="A139" t="s">
        <v>155</v>
      </c>
      <c r="B139">
        <v>944</v>
      </c>
      <c r="C139">
        <v>51</v>
      </c>
      <c r="D139">
        <v>1501</v>
      </c>
      <c r="E139">
        <v>1464</v>
      </c>
      <c r="F139">
        <v>13610</v>
      </c>
      <c r="G139">
        <v>14370</v>
      </c>
      <c r="H139">
        <v>14386</v>
      </c>
      <c r="I139">
        <v>13674</v>
      </c>
      <c r="J139">
        <f t="shared" si="14"/>
        <v>995</v>
      </c>
      <c r="L139">
        <v>28060</v>
      </c>
      <c r="M139">
        <v>27284</v>
      </c>
      <c r="N139" s="1">
        <v>0.50071377587437549</v>
      </c>
      <c r="O139" s="1">
        <v>0.48686652391149177</v>
      </c>
      <c r="P139" s="1">
        <v>4.9416666666666664E-2</v>
      </c>
      <c r="Q139">
        <v>0.73540762697338069</v>
      </c>
      <c r="R139">
        <v>5.0316289014030513E-10</v>
      </c>
      <c r="S139" t="b">
        <v>1</v>
      </c>
      <c r="T139" t="b">
        <v>0</v>
      </c>
      <c r="V139" s="3"/>
      <c r="X139" s="4">
        <f t="shared" si="15"/>
        <v>60000</v>
      </c>
      <c r="AD139" t="b" cm="1">
        <f t="array" ref="AD139">OR(NOT(ISBLANK(Y139:AB139)))</f>
        <v>0</v>
      </c>
      <c r="AE139" t="b">
        <f t="shared" si="16"/>
        <v>0</v>
      </c>
      <c r="AF139" t="b">
        <f t="shared" si="17"/>
        <v>0</v>
      </c>
      <c r="AG139" t="b">
        <f t="shared" si="18"/>
        <v>0</v>
      </c>
    </row>
    <row r="140" spans="1:33" hidden="1" x14ac:dyDescent="0.25">
      <c r="A140" t="s">
        <v>156</v>
      </c>
      <c r="B140">
        <v>0</v>
      </c>
      <c r="C140">
        <v>0</v>
      </c>
      <c r="D140">
        <v>0</v>
      </c>
      <c r="E140">
        <v>0</v>
      </c>
      <c r="F140">
        <v>5015</v>
      </c>
      <c r="G140">
        <v>5061</v>
      </c>
      <c r="H140">
        <v>4985</v>
      </c>
      <c r="I140">
        <v>4939</v>
      </c>
      <c r="J140">
        <f t="shared" si="14"/>
        <v>0</v>
      </c>
      <c r="L140">
        <v>9924</v>
      </c>
      <c r="M140">
        <v>9954</v>
      </c>
      <c r="N140" s="1">
        <v>0.49619999999999997</v>
      </c>
      <c r="O140" s="1">
        <v>0.49769999999999998</v>
      </c>
      <c r="P140" s="1">
        <v>0</v>
      </c>
      <c r="Q140">
        <v>0.28246324719440602</v>
      </c>
      <c r="R140">
        <v>0.51534460999831999</v>
      </c>
      <c r="S140" t="b">
        <v>1</v>
      </c>
      <c r="T140" t="b">
        <v>1</v>
      </c>
      <c r="V140" s="3"/>
      <c r="X140" s="4">
        <f t="shared" si="15"/>
        <v>20000</v>
      </c>
      <c r="AD140" t="b" cm="1">
        <f t="array" ref="AD140">OR(NOT(ISBLANK(Y140:AB140)))</f>
        <v>0</v>
      </c>
      <c r="AE140" t="b">
        <f t="shared" si="16"/>
        <v>0</v>
      </c>
      <c r="AF140" t="b">
        <f t="shared" si="17"/>
        <v>0</v>
      </c>
      <c r="AG140" t="b">
        <f t="shared" si="18"/>
        <v>0</v>
      </c>
    </row>
    <row r="141" spans="1:33" hidden="1" x14ac:dyDescent="0.25">
      <c r="A141" t="s">
        <v>157</v>
      </c>
      <c r="B141">
        <v>0</v>
      </c>
      <c r="C141">
        <v>3</v>
      </c>
      <c r="D141">
        <v>11</v>
      </c>
      <c r="E141">
        <v>10</v>
      </c>
      <c r="F141">
        <v>4944</v>
      </c>
      <c r="G141">
        <v>5005</v>
      </c>
      <c r="H141">
        <v>5045</v>
      </c>
      <c r="I141">
        <v>4982</v>
      </c>
      <c r="J141">
        <f t="shared" si="14"/>
        <v>3</v>
      </c>
      <c r="L141">
        <v>10027</v>
      </c>
      <c r="M141">
        <v>9926</v>
      </c>
      <c r="N141" s="1">
        <v>0.50195234281137302</v>
      </c>
      <c r="O141" s="1">
        <v>0.49689627553063598</v>
      </c>
      <c r="P141" s="1">
        <v>1.0499999999999999E-3</v>
      </c>
      <c r="Q141">
        <v>0.58103433114696301</v>
      </c>
      <c r="R141">
        <v>0.38030255128804502</v>
      </c>
      <c r="S141" t="b">
        <v>1</v>
      </c>
      <c r="T141" t="b">
        <v>1</v>
      </c>
      <c r="V141" s="3"/>
      <c r="X141" s="4">
        <f t="shared" si="15"/>
        <v>20000</v>
      </c>
      <c r="AD141" t="b" cm="1">
        <f t="array" ref="AD141">OR(NOT(ISBLANK(Y141:AB141)))</f>
        <v>0</v>
      </c>
      <c r="AE141" t="b">
        <f t="shared" si="16"/>
        <v>0</v>
      </c>
      <c r="AF141" t="b">
        <f t="shared" si="17"/>
        <v>0</v>
      </c>
      <c r="AG141" t="b">
        <f t="shared" si="18"/>
        <v>0</v>
      </c>
    </row>
    <row r="142" spans="1:33" hidden="1" x14ac:dyDescent="0.25">
      <c r="A142" t="s">
        <v>158</v>
      </c>
      <c r="B142">
        <v>0</v>
      </c>
      <c r="C142">
        <v>0</v>
      </c>
      <c r="D142">
        <v>921</v>
      </c>
      <c r="E142">
        <v>974</v>
      </c>
      <c r="F142">
        <v>9125</v>
      </c>
      <c r="G142">
        <v>9843</v>
      </c>
      <c r="H142">
        <v>9954</v>
      </c>
      <c r="I142">
        <v>9183</v>
      </c>
      <c r="J142">
        <v>0</v>
      </c>
      <c r="K142">
        <v>0</v>
      </c>
      <c r="L142">
        <v>19137</v>
      </c>
      <c r="M142">
        <v>18308</v>
      </c>
      <c r="N142" s="1">
        <v>0.50221755675108204</v>
      </c>
      <c r="O142" s="1">
        <v>0.48046188164282899</v>
      </c>
      <c r="P142" s="1">
        <v>4.7375E-2</v>
      </c>
      <c r="Q142">
        <v>0.38662375162725099</v>
      </c>
      <c r="R142">
        <v>2.3865000721736502E-14</v>
      </c>
      <c r="S142" t="b">
        <v>1</v>
      </c>
      <c r="T142" t="b">
        <v>0</v>
      </c>
      <c r="V142" s="3"/>
      <c r="X142" s="4">
        <f t="shared" si="15"/>
        <v>40000</v>
      </c>
      <c r="Z142" s="5" t="s">
        <v>160</v>
      </c>
      <c r="AD142" t="b" cm="1">
        <f t="array" ref="AD142">OR(NOT(ISBLANK(Y142:AB142)))</f>
        <v>1</v>
      </c>
      <c r="AE142" t="b">
        <f t="shared" si="16"/>
        <v>0</v>
      </c>
      <c r="AF142" t="b">
        <f t="shared" si="17"/>
        <v>0</v>
      </c>
      <c r="AG142" t="b">
        <f t="shared" si="18"/>
        <v>0</v>
      </c>
    </row>
  </sheetData>
  <autoFilter ref="A1:AI142" xr:uid="{9FA1143D-0630-44D1-88D2-0F6770CCC143}">
    <filterColumn colId="31">
      <filters>
        <filter val="TRUE"/>
      </filters>
    </filterColumn>
  </autoFilter>
  <conditionalFormatting sqref="L2:L6 L8:L17 L19:L20 L23:L27 L29:L47 L49:L51 L53:L72 L74:L83 L85:L88 L90:L97 L99 L102:L104 L106:L119 L121:L142">
    <cfRule type="cellIs" dxfId="23" priority="162" operator="lessThan">
      <formula>8000</formula>
    </cfRule>
  </conditionalFormatting>
  <conditionalFormatting sqref="N2:O2">
    <cfRule type="cellIs" dxfId="22" priority="176" stopIfTrue="1" operator="lessThan">
      <formula>0.4</formula>
    </cfRule>
    <cfRule type="cellIs" dxfId="21" priority="177" stopIfTrue="1" operator="greaterThan">
      <formula>0.6</formula>
    </cfRule>
    <cfRule type="cellIs" dxfId="20" priority="178" stopIfTrue="1" operator="lessThan">
      <formula>0.48</formula>
    </cfRule>
    <cfRule type="cellIs" dxfId="19" priority="179" operator="greaterThan">
      <formula>0.52</formula>
    </cfRule>
  </conditionalFormatting>
  <conditionalFormatting sqref="N7:O101">
    <cfRule type="cellIs" dxfId="18" priority="25" stopIfTrue="1" operator="lessThan">
      <formula>0.4</formula>
    </cfRule>
    <cfRule type="cellIs" dxfId="17" priority="26" stopIfTrue="1" operator="greaterThan">
      <formula>0.6</formula>
    </cfRule>
    <cfRule type="cellIs" dxfId="16" priority="27" stopIfTrue="1" operator="lessThan">
      <formula>0.48</formula>
    </cfRule>
    <cfRule type="cellIs" dxfId="15" priority="28" operator="greaterThan">
      <formula>0.52</formula>
    </cfRule>
  </conditionalFormatting>
  <conditionalFormatting sqref="N105:O105">
    <cfRule type="cellIs" dxfId="14" priority="16" stopIfTrue="1" operator="lessThan">
      <formula>0.4</formula>
    </cfRule>
    <cfRule type="cellIs" dxfId="13" priority="17" stopIfTrue="1" operator="greaterThan">
      <formula>0.6</formula>
    </cfRule>
    <cfRule type="cellIs" dxfId="12" priority="18" stopIfTrue="1" operator="lessThan">
      <formula>0.48</formula>
    </cfRule>
    <cfRule type="cellIs" dxfId="11" priority="19" operator="greaterThan">
      <formula>0.52</formula>
    </cfRule>
  </conditionalFormatting>
  <conditionalFormatting sqref="N120:O120">
    <cfRule type="cellIs" dxfId="10" priority="7" stopIfTrue="1" operator="lessThan">
      <formula>0.4</formula>
    </cfRule>
    <cfRule type="cellIs" dxfId="9" priority="8" stopIfTrue="1" operator="greaterThan">
      <formula>0.6</formula>
    </cfRule>
    <cfRule type="cellIs" dxfId="8" priority="9" stopIfTrue="1" operator="lessThan">
      <formula>0.48</formula>
    </cfRule>
    <cfRule type="cellIs" dxfId="7" priority="10" operator="greaterThan">
      <formula>0.52</formula>
    </cfRule>
  </conditionalFormatting>
  <conditionalFormatting sqref="P2:P142">
    <cfRule type="cellIs" dxfId="6" priority="4" operator="greaterThan">
      <formula>0.4</formula>
    </cfRule>
    <cfRule type="cellIs" dxfId="5" priority="5" stopIfTrue="1" operator="greaterThan">
      <formula>0.1</formula>
    </cfRule>
    <cfRule type="cellIs" dxfId="4" priority="6" operator="greaterThan">
      <formula>0.05</formula>
    </cfRule>
  </conditionalFormatting>
  <conditionalFormatting sqref="Q2:R142">
    <cfRule type="cellIs" dxfId="3" priority="1" operator="between">
      <formula>0.05</formula>
      <formula>0.15</formula>
    </cfRule>
    <cfRule type="cellIs" dxfId="2" priority="2" operator="between">
      <formula>0.001</formula>
      <formula>0.05</formula>
    </cfRule>
  </conditionalFormatting>
  <conditionalFormatting sqref="S2:T142">
    <cfRule type="cellIs" dxfId="1" priority="3" operator="equal">
      <formula>FALSE</formula>
    </cfRule>
  </conditionalFormatting>
  <conditionalFormatting sqref="X2:X142">
    <cfRule type="cellIs" dxfId="0" priority="161" operator="greaterThan">
      <formula>20000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 Davies</cp:lastModifiedBy>
  <dcterms:created xsi:type="dcterms:W3CDTF">2025-12-23T01:34:02Z</dcterms:created>
  <dcterms:modified xsi:type="dcterms:W3CDTF">2026-01-08T14:20:11Z</dcterms:modified>
</cp:coreProperties>
</file>
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ctivity_Data\Mancala_github\MancalaGames\analysis\data\"/>
    </mc:Choice>
  </mc:AlternateContent>
  <xr:revisionPtr revIDLastSave="0" documentId="13_ncr:1_{1F8BE070-E3CA-4999-9580-48CA92C0D65A}" xr6:coauthVersionLast="47" xr6:coauthVersionMax="47" xr10:uidLastSave="{00000000-0000-0000-0000-000000000000}"/>
  <bookViews>
    <workbookView xWindow="32055" yWindow="960" windowWidth="25410" windowHeight="14265" xr2:uid="{8CFCA730-4EDD-4AF7-80E4-9848B77F6D14}"/>
  </bookViews>
  <sheets>
    <sheet name="Fairness" sheetId="1" r:id="rId1"/>
  </sheets>
  <definedNames>
    <definedName name="_xlnm._FilterDatabase" localSheetId="0" hidden="1">Fairness!$A$1:$AI$142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" i="1" l="1" a="1"/>
  <c r="AD9" i="1" s="1"/>
  <c r="X89" i="1" l="1"/>
  <c r="X3" i="1"/>
  <c r="X4" i="1"/>
  <c r="X7" i="1"/>
  <c r="X5" i="1"/>
  <c r="X10" i="1"/>
  <c r="X8" i="1"/>
  <c r="X11" i="1"/>
  <c r="X12" i="1"/>
  <c r="X15" i="1"/>
  <c r="X20" i="1"/>
  <c r="X26" i="1"/>
  <c r="X27" i="1"/>
  <c r="X34" i="1"/>
  <c r="X28" i="1"/>
  <c r="X29" i="1"/>
  <c r="X32" i="1"/>
  <c r="X36" i="1"/>
  <c r="X39" i="1"/>
  <c r="X40" i="1"/>
  <c r="X41" i="1"/>
  <c r="X42" i="1"/>
  <c r="X44" i="1"/>
  <c r="X45" i="1"/>
  <c r="X47" i="1"/>
  <c r="X50" i="1"/>
  <c r="X51" i="1"/>
  <c r="X55" i="1"/>
  <c r="X57" i="1"/>
  <c r="X58" i="1"/>
  <c r="X59" i="1"/>
  <c r="X60" i="1"/>
  <c r="X61" i="1"/>
  <c r="X68" i="1"/>
  <c r="X70" i="1"/>
  <c r="X74" i="1"/>
  <c r="X75" i="1"/>
  <c r="X77" i="1"/>
  <c r="X78" i="1"/>
  <c r="X80" i="1"/>
  <c r="X81" i="1"/>
  <c r="X82" i="1"/>
  <c r="X85" i="1"/>
  <c r="X87" i="1"/>
  <c r="X88" i="1"/>
  <c r="X90" i="1"/>
  <c r="X91" i="1"/>
  <c r="X92" i="1"/>
  <c r="X93" i="1"/>
  <c r="X94" i="1"/>
  <c r="X95" i="1"/>
  <c r="X97" i="1"/>
  <c r="X96" i="1"/>
  <c r="X99" i="1"/>
  <c r="X103" i="1"/>
  <c r="X106" i="1"/>
  <c r="X107" i="1"/>
  <c r="X109" i="1"/>
  <c r="X112" i="1"/>
  <c r="X114" i="1"/>
  <c r="X115" i="1"/>
  <c r="X116" i="1"/>
  <c r="X119" i="1"/>
  <c r="X123" i="1"/>
  <c r="X124" i="1"/>
  <c r="X125" i="1"/>
  <c r="X127" i="1"/>
  <c r="X129" i="1"/>
  <c r="X130" i="1"/>
  <c r="X131" i="1"/>
  <c r="X132" i="1"/>
  <c r="X133" i="1"/>
  <c r="X134" i="1"/>
  <c r="X136" i="1"/>
  <c r="X137" i="1"/>
  <c r="X138" i="1"/>
  <c r="X140" i="1"/>
  <c r="X141" i="1"/>
  <c r="AF123" i="1" l="1"/>
  <c r="AE123" i="1"/>
  <c r="AF107" i="1"/>
  <c r="AE107" i="1"/>
  <c r="AF97" i="1"/>
  <c r="AE97" i="1"/>
  <c r="AF45" i="1"/>
  <c r="AE45" i="1"/>
  <c r="AF57" i="1"/>
  <c r="AE57" i="1"/>
  <c r="AF109" i="1"/>
  <c r="AE109" i="1"/>
  <c r="AF42" i="1"/>
  <c r="AE42" i="1"/>
  <c r="AF27" i="1"/>
  <c r="AE27" i="1"/>
  <c r="AF58" i="1"/>
  <c r="AE58" i="1"/>
  <c r="AF51" i="1"/>
  <c r="AE51" i="1"/>
  <c r="AF106" i="1"/>
  <c r="AE106" i="1"/>
  <c r="AF36" i="1"/>
  <c r="AE36" i="1"/>
  <c r="AF92" i="1"/>
  <c r="AE92" i="1"/>
  <c r="AF141" i="1"/>
  <c r="AE141" i="1"/>
  <c r="AF138" i="1"/>
  <c r="AE138" i="1"/>
  <c r="AF5" i="1"/>
  <c r="AE5" i="1"/>
  <c r="AF59" i="1"/>
  <c r="AE59" i="1"/>
  <c r="AF55" i="1"/>
  <c r="AE55" i="1"/>
  <c r="AF47" i="1"/>
  <c r="AE47" i="1"/>
  <c r="AF41" i="1"/>
  <c r="AE41" i="1"/>
  <c r="AF39" i="1"/>
  <c r="AE39" i="1"/>
  <c r="AF32" i="1"/>
  <c r="AE32" i="1"/>
  <c r="AF34" i="1"/>
  <c r="AE34" i="1"/>
  <c r="AF26" i="1"/>
  <c r="AE26" i="1"/>
  <c r="AF15" i="1"/>
  <c r="AE15" i="1"/>
  <c r="AF133" i="1"/>
  <c r="AE133" i="1"/>
  <c r="AF11" i="1"/>
  <c r="AE11" i="1"/>
  <c r="AF10" i="1"/>
  <c r="AE10" i="1"/>
  <c r="AF129" i="1"/>
  <c r="AE129" i="1"/>
  <c r="AF74" i="1"/>
  <c r="AE74" i="1"/>
  <c r="AF7" i="1"/>
  <c r="AE7" i="1"/>
  <c r="AF116" i="1"/>
  <c r="AE116" i="1"/>
  <c r="AF50" i="1"/>
  <c r="AE50" i="1"/>
  <c r="AF99" i="1"/>
  <c r="AE99" i="1"/>
  <c r="AF94" i="1"/>
  <c r="AE94" i="1"/>
  <c r="AF93" i="1"/>
  <c r="AE93" i="1"/>
  <c r="AF91" i="1"/>
  <c r="AE91" i="1"/>
  <c r="AF88" i="1"/>
  <c r="AE88" i="1"/>
  <c r="AF20" i="1"/>
  <c r="AE20" i="1"/>
  <c r="AF81" i="1"/>
  <c r="AE81" i="1"/>
  <c r="AF78" i="1"/>
  <c r="AE78" i="1"/>
  <c r="AF70" i="1"/>
  <c r="AE70" i="1"/>
  <c r="AF4" i="1"/>
  <c r="AE4" i="1"/>
  <c r="AF60" i="1"/>
  <c r="AE60" i="1"/>
  <c r="AF115" i="1"/>
  <c r="AE115" i="1"/>
  <c r="AF114" i="1"/>
  <c r="AE114" i="1"/>
  <c r="AF112" i="1"/>
  <c r="AE112" i="1"/>
  <c r="AF44" i="1"/>
  <c r="AE44" i="1"/>
  <c r="AF40" i="1"/>
  <c r="AE40" i="1"/>
  <c r="AF29" i="1"/>
  <c r="AE29" i="1"/>
  <c r="AF90" i="1"/>
  <c r="AE90" i="1"/>
  <c r="AF87" i="1"/>
  <c r="AE87" i="1"/>
  <c r="AF137" i="1"/>
  <c r="AE137" i="1"/>
  <c r="AF82" i="1"/>
  <c r="AE82" i="1"/>
  <c r="AF12" i="1"/>
  <c r="AE12" i="1"/>
  <c r="AF8" i="1"/>
  <c r="AE8" i="1"/>
  <c r="AF131" i="1"/>
  <c r="AE131" i="1"/>
  <c r="AF130" i="1"/>
  <c r="AE130" i="1"/>
  <c r="AF127" i="1"/>
  <c r="AE127" i="1"/>
  <c r="AF125" i="1"/>
  <c r="AE125" i="1"/>
  <c r="AF68" i="1"/>
  <c r="AE68" i="1"/>
  <c r="AF3" i="1"/>
  <c r="AE3" i="1"/>
  <c r="AF119" i="1"/>
  <c r="AE119" i="1"/>
  <c r="AF103" i="1"/>
  <c r="AE103" i="1"/>
  <c r="AF96" i="1"/>
  <c r="AE96" i="1"/>
  <c r="AF95" i="1"/>
  <c r="AE95" i="1"/>
  <c r="AF28" i="1"/>
  <c r="AE28" i="1"/>
  <c r="AF140" i="1"/>
  <c r="AE140" i="1"/>
  <c r="AF85" i="1"/>
  <c r="AE85" i="1"/>
  <c r="AF136" i="1"/>
  <c r="AE136" i="1"/>
  <c r="AF134" i="1"/>
  <c r="AE134" i="1"/>
  <c r="AF80" i="1"/>
  <c r="AE80" i="1"/>
  <c r="AF132" i="1"/>
  <c r="AE132" i="1"/>
  <c r="AF77" i="1"/>
  <c r="AE77" i="1"/>
  <c r="AF75" i="1"/>
  <c r="AE75" i="1"/>
  <c r="AF124" i="1"/>
  <c r="AE124" i="1"/>
  <c r="AF61" i="1"/>
  <c r="AE61" i="1"/>
  <c r="AF89" i="1"/>
  <c r="AE89" i="1"/>
  <c r="AG104" i="1"/>
  <c r="AG2" i="1"/>
  <c r="AG22" i="1" l="1"/>
  <c r="AG3" i="1"/>
  <c r="AG4" i="1"/>
  <c r="AG7" i="1"/>
  <c r="AG5" i="1"/>
  <c r="AG6" i="1"/>
  <c r="AG10" i="1"/>
  <c r="AG8" i="1"/>
  <c r="AG9" i="1"/>
  <c r="AG11" i="1"/>
  <c r="AG12" i="1"/>
  <c r="AG13" i="1"/>
  <c r="AG14" i="1"/>
  <c r="AG15" i="1"/>
  <c r="AG16" i="1"/>
  <c r="AG17" i="1"/>
  <c r="AG18" i="1"/>
  <c r="AG19" i="1"/>
  <c r="AG20" i="1"/>
  <c r="AG21" i="1"/>
  <c r="AG23" i="1"/>
  <c r="AG24" i="1"/>
  <c r="AG25" i="1"/>
  <c r="AG26" i="1"/>
  <c r="AG27" i="1"/>
  <c r="AG33" i="1"/>
  <c r="AG34" i="1"/>
  <c r="AG28" i="1"/>
  <c r="AG29" i="1"/>
  <c r="AG30" i="1"/>
  <c r="AG31" i="1"/>
  <c r="AG32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2" i="1"/>
  <c r="AG63" i="1"/>
  <c r="AG61" i="1"/>
  <c r="AG64" i="1"/>
  <c r="AG65" i="1"/>
  <c r="AG66" i="1"/>
  <c r="AG67" i="1"/>
  <c r="AG68" i="1"/>
  <c r="AG69" i="1"/>
  <c r="AG71" i="1"/>
  <c r="AG72" i="1"/>
  <c r="AG70" i="1"/>
  <c r="AG73" i="1"/>
  <c r="AG74" i="1"/>
  <c r="AG75" i="1"/>
  <c r="AG77" i="1"/>
  <c r="AG76" i="1"/>
  <c r="AG78" i="1"/>
  <c r="AG79" i="1"/>
  <c r="AG80" i="1"/>
  <c r="AG81" i="1"/>
  <c r="AG82" i="1"/>
  <c r="AG83" i="1"/>
  <c r="AG84" i="1"/>
  <c r="AG85" i="1"/>
  <c r="AG87" i="1"/>
  <c r="AG86" i="1"/>
  <c r="AG88" i="1"/>
  <c r="AG89" i="1"/>
  <c r="AG90" i="1"/>
  <c r="AG91" i="1"/>
  <c r="AG92" i="1"/>
  <c r="AG97" i="1"/>
  <c r="AG96" i="1"/>
  <c r="AG98" i="1"/>
  <c r="AG99" i="1"/>
  <c r="AG100" i="1"/>
  <c r="AG101" i="1"/>
  <c r="AG102" i="1"/>
  <c r="AG103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9" i="1"/>
  <c r="AG128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X84" i="1"/>
  <c r="AF84" i="1" l="1"/>
  <c r="AE84" i="1"/>
  <c r="J105" i="1"/>
  <c r="AD14" i="1" l="1" a="1"/>
  <c r="AD14" i="1" s="1"/>
  <c r="AD15" i="1" a="1"/>
  <c r="AD15" i="1" s="1"/>
  <c r="AD16" i="1" a="1"/>
  <c r="AD16" i="1" s="1"/>
  <c r="AD17" i="1" a="1"/>
  <c r="AD17" i="1" s="1"/>
  <c r="AD18" i="1" a="1"/>
  <c r="AD18" i="1" s="1"/>
  <c r="AD19" i="1" a="1"/>
  <c r="AD19" i="1" s="1"/>
  <c r="AD20" i="1" a="1"/>
  <c r="AD20" i="1" s="1"/>
  <c r="AD21" i="1" a="1"/>
  <c r="AD21" i="1" s="1"/>
  <c r="AD22" i="1" a="1"/>
  <c r="AD22" i="1" s="1"/>
  <c r="AD23" i="1" a="1"/>
  <c r="AD23" i="1" s="1"/>
  <c r="AD24" i="1" a="1"/>
  <c r="AD24" i="1" s="1"/>
  <c r="AD25" i="1" a="1"/>
  <c r="AD25" i="1" s="1"/>
  <c r="AD26" i="1" a="1"/>
  <c r="AD26" i="1" s="1"/>
  <c r="AD27" i="1" a="1"/>
  <c r="AD27" i="1" s="1"/>
  <c r="AD33" i="1" a="1"/>
  <c r="AD33" i="1" s="1"/>
  <c r="AD34" i="1" a="1"/>
  <c r="AD34" i="1" s="1"/>
  <c r="AD28" i="1" a="1"/>
  <c r="AD28" i="1" s="1"/>
  <c r="AD29" i="1" a="1"/>
  <c r="AD29" i="1" s="1"/>
  <c r="AD30" i="1" a="1"/>
  <c r="AD30" i="1" s="1"/>
  <c r="AD31" i="1" a="1"/>
  <c r="AD31" i="1" s="1"/>
  <c r="AD32" i="1" a="1"/>
  <c r="AD32" i="1" s="1"/>
  <c r="AD35" i="1" a="1"/>
  <c r="AD35" i="1" s="1"/>
  <c r="AD36" i="1" a="1"/>
  <c r="AD36" i="1" s="1"/>
  <c r="AD37" i="1" a="1"/>
  <c r="AD37" i="1" s="1"/>
  <c r="AD38" i="1" a="1"/>
  <c r="AD38" i="1" s="1"/>
  <c r="AD39" i="1" a="1"/>
  <c r="AD39" i="1" s="1"/>
  <c r="AD40" i="1" a="1"/>
  <c r="AD40" i="1" s="1"/>
  <c r="AD41" i="1" a="1"/>
  <c r="AD41" i="1" s="1"/>
  <c r="AD42" i="1" a="1"/>
  <c r="AD42" i="1" s="1"/>
  <c r="AD43" i="1" a="1"/>
  <c r="AD43" i="1" s="1"/>
  <c r="AD44" i="1" a="1"/>
  <c r="AD44" i="1" s="1"/>
  <c r="AD45" i="1" a="1"/>
  <c r="AD45" i="1" s="1"/>
  <c r="AD46" i="1" a="1"/>
  <c r="AD46" i="1" s="1"/>
  <c r="AD47" i="1" a="1"/>
  <c r="AD47" i="1" s="1"/>
  <c r="AD48" i="1" a="1"/>
  <c r="AD48" i="1" s="1"/>
  <c r="AD49" i="1" a="1"/>
  <c r="AD49" i="1" s="1"/>
  <c r="AD50" i="1" a="1"/>
  <c r="AD50" i="1" s="1"/>
  <c r="AD51" i="1" a="1"/>
  <c r="AD51" i="1" s="1"/>
  <c r="AD52" i="1" a="1"/>
  <c r="AD52" i="1" s="1"/>
  <c r="AD53" i="1" a="1"/>
  <c r="AD53" i="1" s="1"/>
  <c r="AD54" i="1" a="1"/>
  <c r="AD54" i="1" s="1"/>
  <c r="AD55" i="1" a="1"/>
  <c r="AD55" i="1" s="1"/>
  <c r="AD56" i="1" a="1"/>
  <c r="AD56" i="1" s="1"/>
  <c r="AD57" i="1" a="1"/>
  <c r="AD57" i="1" s="1"/>
  <c r="AD58" i="1" a="1"/>
  <c r="AD58" i="1" s="1"/>
  <c r="AD59" i="1" a="1"/>
  <c r="AD59" i="1" s="1"/>
  <c r="AD60" i="1" a="1"/>
  <c r="AD60" i="1" s="1"/>
  <c r="AD62" i="1" a="1"/>
  <c r="AD62" i="1" s="1"/>
  <c r="AD63" i="1" a="1"/>
  <c r="AD63" i="1" s="1"/>
  <c r="AD61" i="1" a="1"/>
  <c r="AD61" i="1" s="1"/>
  <c r="AD64" i="1" a="1"/>
  <c r="AD64" i="1" s="1"/>
  <c r="AD65" i="1" a="1"/>
  <c r="AD65" i="1" s="1"/>
  <c r="AD66" i="1" a="1"/>
  <c r="AD66" i="1" s="1"/>
  <c r="AD67" i="1" a="1"/>
  <c r="AD67" i="1" s="1"/>
  <c r="AD68" i="1" a="1"/>
  <c r="AD68" i="1" s="1"/>
  <c r="AD69" i="1" a="1"/>
  <c r="AD69" i="1" s="1"/>
  <c r="AD71" i="1" a="1"/>
  <c r="AD71" i="1" s="1"/>
  <c r="AD72" i="1" a="1"/>
  <c r="AD72" i="1" s="1"/>
  <c r="AD70" i="1" a="1"/>
  <c r="AD70" i="1" s="1"/>
  <c r="AD73" i="1" a="1"/>
  <c r="AD73" i="1" s="1"/>
  <c r="AD74" i="1" a="1"/>
  <c r="AD74" i="1" s="1"/>
  <c r="AD75" i="1" a="1"/>
  <c r="AD75" i="1" s="1"/>
  <c r="AD77" i="1" a="1"/>
  <c r="AD77" i="1" s="1"/>
  <c r="AD76" i="1" a="1"/>
  <c r="AD76" i="1" s="1"/>
  <c r="AD78" i="1" a="1"/>
  <c r="AD78" i="1" s="1"/>
  <c r="AD79" i="1" a="1"/>
  <c r="AD79" i="1" s="1"/>
  <c r="AD80" i="1" a="1"/>
  <c r="AD80" i="1" s="1"/>
  <c r="AD81" i="1" a="1"/>
  <c r="AD81" i="1" s="1"/>
  <c r="AD82" i="1" a="1"/>
  <c r="AD82" i="1" s="1"/>
  <c r="AD83" i="1" a="1"/>
  <c r="AD83" i="1" s="1"/>
  <c r="AD84" i="1" a="1"/>
  <c r="AD84" i="1" s="1"/>
  <c r="AD85" i="1" a="1"/>
  <c r="AD85" i="1" s="1"/>
  <c r="AD87" i="1" a="1"/>
  <c r="AD87" i="1" s="1"/>
  <c r="AD86" i="1" a="1"/>
  <c r="AD86" i="1" s="1"/>
  <c r="AD88" i="1" a="1"/>
  <c r="AD88" i="1" s="1"/>
  <c r="AD89" i="1" a="1"/>
  <c r="AD89" i="1" s="1"/>
  <c r="AD90" i="1" a="1"/>
  <c r="AD90" i="1" s="1"/>
  <c r="AD91" i="1" a="1"/>
  <c r="AD91" i="1" s="1"/>
  <c r="AD92" i="1" a="1"/>
  <c r="AD92" i="1" s="1"/>
  <c r="AD93" i="1" a="1"/>
  <c r="AD93" i="1" s="1"/>
  <c r="AD94" i="1" a="1"/>
  <c r="AD94" i="1" s="1"/>
  <c r="AD95" i="1" a="1"/>
  <c r="AD95" i="1" s="1"/>
  <c r="AD97" i="1" a="1"/>
  <c r="AD97" i="1" s="1"/>
  <c r="AD96" i="1" a="1"/>
  <c r="AD96" i="1" s="1"/>
  <c r="AD98" i="1" a="1"/>
  <c r="AD98" i="1" s="1"/>
  <c r="AD99" i="1" a="1"/>
  <c r="AD99" i="1" s="1"/>
  <c r="AD100" i="1" a="1"/>
  <c r="AD100" i="1" s="1"/>
  <c r="AD101" i="1" a="1"/>
  <c r="AD101" i="1" s="1"/>
  <c r="AD102" i="1" a="1"/>
  <c r="AD102" i="1" s="1"/>
  <c r="AD103" i="1" a="1"/>
  <c r="AD103" i="1" s="1"/>
  <c r="AD104" i="1" a="1"/>
  <c r="AD104" i="1" s="1"/>
  <c r="AD105" i="1" a="1"/>
  <c r="AD105" i="1" s="1"/>
  <c r="AD106" i="1" a="1"/>
  <c r="AD106" i="1" s="1"/>
  <c r="AD107" i="1" a="1"/>
  <c r="AD107" i="1" s="1"/>
  <c r="AD108" i="1" a="1"/>
  <c r="AD108" i="1" s="1"/>
  <c r="AD109" i="1" a="1"/>
  <c r="AD109" i="1" s="1"/>
  <c r="AD110" i="1" a="1"/>
  <c r="AD110" i="1" s="1"/>
  <c r="AD111" i="1" a="1"/>
  <c r="AD111" i="1" s="1"/>
  <c r="AD112" i="1" a="1"/>
  <c r="AD112" i="1" s="1"/>
  <c r="AD113" i="1" a="1"/>
  <c r="AD113" i="1" s="1"/>
  <c r="AD114" i="1" a="1"/>
  <c r="AD114" i="1" s="1"/>
  <c r="AD115" i="1" a="1"/>
  <c r="AD115" i="1" s="1"/>
  <c r="AD116" i="1" a="1"/>
  <c r="AD116" i="1" s="1"/>
  <c r="AD117" i="1" a="1"/>
  <c r="AD117" i="1" s="1"/>
  <c r="AD118" i="1" a="1"/>
  <c r="AD118" i="1" s="1"/>
  <c r="AD119" i="1" a="1"/>
  <c r="AD119" i="1" s="1"/>
  <c r="AD120" i="1" a="1"/>
  <c r="AD120" i="1" s="1"/>
  <c r="AD121" i="1" a="1"/>
  <c r="AD121" i="1" s="1"/>
  <c r="AD122" i="1" a="1"/>
  <c r="AD122" i="1" s="1"/>
  <c r="AD123" i="1" a="1"/>
  <c r="AD123" i="1" s="1"/>
  <c r="AD124" i="1" a="1"/>
  <c r="AD124" i="1" s="1"/>
  <c r="AD125" i="1" a="1"/>
  <c r="AD125" i="1" s="1"/>
  <c r="AD126" i="1" a="1"/>
  <c r="AD126" i="1" s="1"/>
  <c r="AD127" i="1" a="1"/>
  <c r="AD127" i="1" s="1"/>
  <c r="AD129" i="1" a="1"/>
  <c r="AD129" i="1" s="1"/>
  <c r="AD128" i="1" a="1"/>
  <c r="AD128" i="1" s="1"/>
  <c r="AD130" i="1" a="1"/>
  <c r="AD130" i="1" s="1"/>
  <c r="AD131" i="1" a="1"/>
  <c r="AD131" i="1" s="1"/>
  <c r="AD132" i="1" a="1"/>
  <c r="AD132" i="1" s="1"/>
  <c r="AD133" i="1" a="1"/>
  <c r="AD133" i="1" s="1"/>
  <c r="AD134" i="1" a="1"/>
  <c r="AD134" i="1" s="1"/>
  <c r="AD135" i="1" a="1"/>
  <c r="AD135" i="1" s="1"/>
  <c r="AD136" i="1" a="1"/>
  <c r="AD136" i="1" s="1"/>
  <c r="AD137" i="1" a="1"/>
  <c r="AD137" i="1" s="1"/>
  <c r="AD138" i="1" a="1"/>
  <c r="AD138" i="1" s="1"/>
  <c r="AD139" i="1" a="1"/>
  <c r="AD139" i="1" s="1"/>
  <c r="AD140" i="1" a="1"/>
  <c r="AD140" i="1" s="1"/>
  <c r="AD141" i="1" a="1"/>
  <c r="AD141" i="1" s="1"/>
  <c r="AD142" i="1" a="1"/>
  <c r="AD142" i="1" s="1"/>
  <c r="AD3" i="1" a="1"/>
  <c r="AD3" i="1" s="1"/>
  <c r="AD4" i="1" a="1"/>
  <c r="AD4" i="1" s="1"/>
  <c r="AD7" i="1" a="1"/>
  <c r="AD7" i="1" s="1"/>
  <c r="AD5" i="1" a="1"/>
  <c r="AD5" i="1" s="1"/>
  <c r="AD6" i="1" a="1"/>
  <c r="AD6" i="1" s="1"/>
  <c r="AD10" i="1" a="1"/>
  <c r="AD10" i="1" s="1"/>
  <c r="AD8" i="1" a="1"/>
  <c r="AD8" i="1" s="1"/>
  <c r="AD11" i="1" a="1"/>
  <c r="AD11" i="1" s="1"/>
  <c r="AD12" i="1" a="1"/>
  <c r="AD12" i="1" s="1"/>
  <c r="AD13" i="1" a="1"/>
  <c r="AD13" i="1" s="1"/>
  <c r="AD2" i="1" a="1"/>
  <c r="AD2" i="1" s="1"/>
  <c r="X76" i="1" l="1"/>
  <c r="AF76" i="1" l="1"/>
  <c r="AE76" i="1"/>
  <c r="X79" i="1"/>
  <c r="X6" i="1"/>
  <c r="X9" i="1"/>
  <c r="X13" i="1"/>
  <c r="X14" i="1"/>
  <c r="X16" i="1"/>
  <c r="X17" i="1"/>
  <c r="X18" i="1"/>
  <c r="X19" i="1"/>
  <c r="X21" i="1"/>
  <c r="X22" i="1"/>
  <c r="X23" i="1"/>
  <c r="X24" i="1"/>
  <c r="X25" i="1"/>
  <c r="X33" i="1"/>
  <c r="X30" i="1"/>
  <c r="X31" i="1"/>
  <c r="X35" i="1"/>
  <c r="X37" i="1"/>
  <c r="X38" i="1"/>
  <c r="X43" i="1"/>
  <c r="X46" i="1"/>
  <c r="X48" i="1"/>
  <c r="X49" i="1"/>
  <c r="X52" i="1"/>
  <c r="X53" i="1"/>
  <c r="X54" i="1"/>
  <c r="X56" i="1"/>
  <c r="X62" i="1"/>
  <c r="X63" i="1"/>
  <c r="X64" i="1"/>
  <c r="X65" i="1"/>
  <c r="X66" i="1"/>
  <c r="X67" i="1"/>
  <c r="X69" i="1"/>
  <c r="X71" i="1"/>
  <c r="X72" i="1"/>
  <c r="X73" i="1"/>
  <c r="X83" i="1"/>
  <c r="X86" i="1"/>
  <c r="X98" i="1"/>
  <c r="X100" i="1"/>
  <c r="X101" i="1"/>
  <c r="X102" i="1"/>
  <c r="X104" i="1"/>
  <c r="X105" i="1"/>
  <c r="X108" i="1"/>
  <c r="X110" i="1"/>
  <c r="X111" i="1"/>
  <c r="X113" i="1"/>
  <c r="X117" i="1"/>
  <c r="X118" i="1"/>
  <c r="X120" i="1"/>
  <c r="X121" i="1"/>
  <c r="X122" i="1"/>
  <c r="X126" i="1"/>
  <c r="X128" i="1"/>
  <c r="X135" i="1"/>
  <c r="X139" i="1"/>
  <c r="X142" i="1"/>
  <c r="X2" i="1"/>
  <c r="AF62" i="1" l="1"/>
  <c r="AE62" i="1"/>
  <c r="AF63" i="1"/>
  <c r="AE63" i="1"/>
  <c r="AF2" i="1"/>
  <c r="AE2" i="1"/>
  <c r="AF139" i="1"/>
  <c r="AE139" i="1"/>
  <c r="AF128" i="1"/>
  <c r="AE128" i="1"/>
  <c r="AF122" i="1"/>
  <c r="AE122" i="1"/>
  <c r="AF120" i="1"/>
  <c r="AE120" i="1"/>
  <c r="AF33" i="1"/>
  <c r="AE33" i="1"/>
  <c r="AF142" i="1"/>
  <c r="AE142" i="1"/>
  <c r="AF52" i="1"/>
  <c r="AE52" i="1"/>
  <c r="AF48" i="1"/>
  <c r="AE48" i="1"/>
  <c r="AF43" i="1"/>
  <c r="AE43" i="1"/>
  <c r="AF37" i="1"/>
  <c r="AE37" i="1"/>
  <c r="AF31" i="1"/>
  <c r="AE31" i="1"/>
  <c r="AF110" i="1"/>
  <c r="AE110" i="1"/>
  <c r="AF105" i="1"/>
  <c r="AE105" i="1"/>
  <c r="AF24" i="1"/>
  <c r="AE24" i="1"/>
  <c r="AF101" i="1"/>
  <c r="AE101" i="1"/>
  <c r="AF100" i="1"/>
  <c r="AE100" i="1"/>
  <c r="AF16" i="1"/>
  <c r="AE16" i="1"/>
  <c r="AF54" i="1"/>
  <c r="AE54" i="1"/>
  <c r="AF126" i="1"/>
  <c r="AE126" i="1"/>
  <c r="AF46" i="1"/>
  <c r="AE46" i="1"/>
  <c r="AF35" i="1"/>
  <c r="AE35" i="1"/>
  <c r="AF25" i="1"/>
  <c r="AE25" i="1"/>
  <c r="AF18" i="1"/>
  <c r="AE18" i="1"/>
  <c r="AF56" i="1"/>
  <c r="AE56" i="1"/>
  <c r="AF53" i="1"/>
  <c r="AE53" i="1"/>
  <c r="AF49" i="1"/>
  <c r="AE49" i="1"/>
  <c r="AF121" i="1"/>
  <c r="AE121" i="1"/>
  <c r="AF118" i="1"/>
  <c r="AE118" i="1"/>
  <c r="AF117" i="1"/>
  <c r="AE117" i="1"/>
  <c r="AF113" i="1"/>
  <c r="AE113" i="1"/>
  <c r="AF30" i="1"/>
  <c r="AE30" i="1"/>
  <c r="AF104" i="1"/>
  <c r="AE104" i="1"/>
  <c r="AF102" i="1"/>
  <c r="AE102" i="1"/>
  <c r="AF22" i="1"/>
  <c r="AE22" i="1"/>
  <c r="AF98" i="1"/>
  <c r="AE98" i="1"/>
  <c r="AF86" i="1"/>
  <c r="AE86" i="1"/>
  <c r="AF17" i="1"/>
  <c r="AE17" i="1"/>
  <c r="AF72" i="1"/>
  <c r="AE72" i="1"/>
  <c r="AF71" i="1"/>
  <c r="AE71" i="1"/>
  <c r="AF69" i="1"/>
  <c r="AE69" i="1"/>
  <c r="AF65" i="1"/>
  <c r="AE65" i="1"/>
  <c r="AF135" i="1"/>
  <c r="AE135" i="1"/>
  <c r="AF38" i="1"/>
  <c r="AE38" i="1"/>
  <c r="AF111" i="1"/>
  <c r="AE111" i="1"/>
  <c r="AF108" i="1"/>
  <c r="AE108" i="1"/>
  <c r="AF23" i="1"/>
  <c r="AE23" i="1"/>
  <c r="AF21" i="1"/>
  <c r="AE21" i="1"/>
  <c r="AF19" i="1"/>
  <c r="AE19" i="1"/>
  <c r="AF83" i="1"/>
  <c r="AE83" i="1"/>
  <c r="AF73" i="1"/>
  <c r="AE73" i="1"/>
  <c r="AF14" i="1"/>
  <c r="AE14" i="1"/>
  <c r="AF13" i="1"/>
  <c r="AE13" i="1"/>
  <c r="AF9" i="1"/>
  <c r="AE9" i="1"/>
  <c r="AF67" i="1"/>
  <c r="AE67" i="1"/>
  <c r="AF6" i="1"/>
  <c r="AE6" i="1"/>
  <c r="AF66" i="1"/>
  <c r="AE66" i="1"/>
  <c r="AF79" i="1"/>
  <c r="AE79" i="1"/>
  <c r="AF64" i="1"/>
  <c r="AE6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<sst xmlns="http://schemas.openxmlformats.org/spreadsheetml/2006/main" count="208" uniqueCount="186">
  <si>
    <t>LOOPED</t>
  </si>
  <si>
    <t>MAX_TURNS</t>
  </si>
  <si>
    <t>TIE-Sf</t>
  </si>
  <si>
    <t>TIE-St</t>
  </si>
  <si>
    <t>WINf-Sf</t>
  </si>
  <si>
    <t>WINf-St</t>
  </si>
  <si>
    <t>WINt-Sf</t>
  </si>
  <si>
    <t>WINt-St</t>
  </si>
  <si>
    <t>no_result</t>
  </si>
  <si>
    <t>t_wins</t>
  </si>
  <si>
    <t>str_wins</t>
  </si>
  <si>
    <t>t_win_pct</t>
  </si>
  <si>
    <t>str_w_pct</t>
  </si>
  <si>
    <t>tie_pct</t>
  </si>
  <si>
    <t>win_pval</t>
  </si>
  <si>
    <t>starter_pval</t>
  </si>
  <si>
    <t>win_fair</t>
  </si>
  <si>
    <t>starter_fair</t>
  </si>
  <si>
    <t>Achochodi</t>
  </si>
  <si>
    <t>Adi</t>
  </si>
  <si>
    <t>Adi_II</t>
  </si>
  <si>
    <t>Adji-boto</t>
  </si>
  <si>
    <t>Adji_Kui_I</t>
  </si>
  <si>
    <t>Adji_Kui_II</t>
  </si>
  <si>
    <t>Al-manqala</t>
  </si>
  <si>
    <t>Alemungula</t>
  </si>
  <si>
    <t>Ali_Guli_Mane</t>
  </si>
  <si>
    <t>Andada</t>
  </si>
  <si>
    <t>Andot</t>
  </si>
  <si>
    <t>Anywoli</t>
  </si>
  <si>
    <t>Ayo</t>
  </si>
  <si>
    <t>Ayoayo</t>
  </si>
  <si>
    <t>Azigo</t>
  </si>
  <si>
    <t>Ba-awa</t>
  </si>
  <si>
    <t>Bakuk</t>
  </si>
  <si>
    <t>Bao</t>
  </si>
  <si>
    <t>Bay_Khom</t>
  </si>
  <si>
    <t>Bechi</t>
  </si>
  <si>
    <t>Bohnenspiel</t>
  </si>
  <si>
    <t>Boola</t>
  </si>
  <si>
    <t>Bosh</t>
  </si>
  <si>
    <t>Bule_Perga</t>
  </si>
  <si>
    <t>Centering</t>
  </si>
  <si>
    <t>Cow</t>
  </si>
  <si>
    <t>Cross-Kalah</t>
  </si>
  <si>
    <t>Cross-Wari</t>
  </si>
  <si>
    <t>CrossCapt</t>
  </si>
  <si>
    <t>CrossCapt_Eight</t>
  </si>
  <si>
    <t>CrossCapt_Nine</t>
  </si>
  <si>
    <t>CrossCapt_Seven</t>
  </si>
  <si>
    <t>CrossCapt_Six</t>
  </si>
  <si>
    <t>Dabuda</t>
  </si>
  <si>
    <t>Dakon</t>
  </si>
  <si>
    <t>Deka</t>
  </si>
  <si>
    <t>Depouiller</t>
  </si>
  <si>
    <t>Diffusion</t>
  </si>
  <si>
    <t>Djenon_Abe</t>
  </si>
  <si>
    <t>Djenon_Aboure</t>
  </si>
  <si>
    <t>Embeli</t>
  </si>
  <si>
    <t>Endodoi</t>
  </si>
  <si>
    <t>Enkeshui</t>
  </si>
  <si>
    <t>Enlightenment</t>
  </si>
  <si>
    <t>Erherhe</t>
  </si>
  <si>
    <t>Eson_Xorgol</t>
  </si>
  <si>
    <t>Four-Capture</t>
  </si>
  <si>
    <t>Gabata</t>
  </si>
  <si>
    <t>Gamacha</t>
  </si>
  <si>
    <t>Gelech</t>
  </si>
  <si>
    <t>Giuthi</t>
  </si>
  <si>
    <t>Goat</t>
  </si>
  <si>
    <t>GoEmpty_One</t>
  </si>
  <si>
    <t>GoEmpty_Two</t>
  </si>
  <si>
    <t>Halusa</t>
  </si>
  <si>
    <t>Hoyito_I</t>
  </si>
  <si>
    <t>Hoyito_II</t>
  </si>
  <si>
    <t>Hufesay</t>
  </si>
  <si>
    <t>Huroy</t>
  </si>
  <si>
    <t>Je_ki_n_je</t>
  </si>
  <si>
    <t>Jongkak</t>
  </si>
  <si>
    <t>J_Odu</t>
  </si>
  <si>
    <t>Kalah</t>
  </si>
  <si>
    <t>Kale</t>
  </si>
  <si>
    <t>Kara</t>
  </si>
  <si>
    <t>Krur</t>
  </si>
  <si>
    <t>Lagerung</t>
  </si>
  <si>
    <t>Lahemay_Waladat</t>
  </si>
  <si>
    <t>Lami</t>
  </si>
  <si>
    <t>Lamlameta</t>
  </si>
  <si>
    <t>Lam_Waladach</t>
  </si>
  <si>
    <t>Leab_El-akil</t>
  </si>
  <si>
    <t>Leb_Bbut_Ahbochen</t>
  </si>
  <si>
    <t>Leyla-Gobale</t>
  </si>
  <si>
    <t>Longbeu-a-cha</t>
  </si>
  <si>
    <t>long_night_game</t>
  </si>
  <si>
    <t>Mandoli</t>
  </si>
  <si>
    <t>Mangala_I</t>
  </si>
  <si>
    <t>Mangala_II</t>
  </si>
  <si>
    <t>Mangala_III</t>
  </si>
  <si>
    <t>Mangala_IV</t>
  </si>
  <si>
    <t>Mbangbi</t>
  </si>
  <si>
    <t>Mbothe</t>
  </si>
  <si>
    <t>Meusueb</t>
  </si>
  <si>
    <t>Micro-Wari</t>
  </si>
  <si>
    <t>Modiar</t>
  </si>
  <si>
    <t>Motiq</t>
  </si>
  <si>
    <t>Nambayi</t>
  </si>
  <si>
    <t>NamNam</t>
  </si>
  <si>
    <t>Ndoto</t>
  </si>
  <si>
    <t>NoCapt</t>
  </si>
  <si>
    <t>NoSides</t>
  </si>
  <si>
    <t>NoSidesChild</t>
  </si>
  <si>
    <t>Nsa_Isong</t>
  </si>
  <si>
    <t>NS_Kalah</t>
  </si>
  <si>
    <t>NumNum</t>
  </si>
  <si>
    <t>Obridjie</t>
  </si>
  <si>
    <t>Ohojichi</t>
  </si>
  <si>
    <t>Ohvulhu</t>
  </si>
  <si>
    <t>Olinda</t>
  </si>
  <si>
    <t>Olowuka</t>
  </si>
  <si>
    <t>OnlyChild</t>
  </si>
  <si>
    <t>Ot-tjin</t>
  </si>
  <si>
    <t>Ouri</t>
  </si>
  <si>
    <t>Oware</t>
  </si>
  <si>
    <t>Pallam_Kuzhi</t>
  </si>
  <si>
    <t>Pallanguli</t>
  </si>
  <si>
    <t>Pandi</t>
  </si>
  <si>
    <t>Qelat</t>
  </si>
  <si>
    <t>Qelat_II</t>
  </si>
  <si>
    <t>Raja_Pasu</t>
  </si>
  <si>
    <t>Random-Kalah</t>
  </si>
  <si>
    <t>Rath</t>
  </si>
  <si>
    <t>Rio_Kadalis</t>
  </si>
  <si>
    <t>Sadeqa</t>
  </si>
  <si>
    <t>Sadeqa_II</t>
  </si>
  <si>
    <t>Sadeqa_III</t>
  </si>
  <si>
    <t>Sadeqa_IV</t>
  </si>
  <si>
    <t>SameSide</t>
  </si>
  <si>
    <t>San_Yao</t>
  </si>
  <si>
    <t>SimpleCapt</t>
  </si>
  <si>
    <t>SimpleCapt_PCapt</t>
  </si>
  <si>
    <t>Sokusowo</t>
  </si>
  <si>
    <t>Songo</t>
  </si>
  <si>
    <t>SowOpDirs</t>
  </si>
  <si>
    <t>Tap-Urdy</t>
  </si>
  <si>
    <t>Tapata</t>
  </si>
  <si>
    <t>Tchuka_Ruma</t>
  </si>
  <si>
    <t>Tegre</t>
  </si>
  <si>
    <t>Tihbat</t>
  </si>
  <si>
    <t>Toguz_Kumalak</t>
  </si>
  <si>
    <t>Toguz_Xorgol</t>
  </si>
  <si>
    <t>Urim</t>
  </si>
  <si>
    <t>Vai_Lun_Thlan</t>
  </si>
  <si>
    <t>Valah</t>
  </si>
  <si>
    <t>Voleur</t>
  </si>
  <si>
    <t>Wari</t>
  </si>
  <si>
    <t>Waurie</t>
  </si>
  <si>
    <t>Weg</t>
  </si>
  <si>
    <t>ZigZag</t>
  </si>
  <si>
    <t>Pend Exper</t>
  </si>
  <si>
    <t>end</t>
  </si>
  <si>
    <t>Total Games</t>
  </si>
  <si>
    <t>Notes</t>
  </si>
  <si>
    <t>AI Players</t>
  </si>
  <si>
    <t>endless</t>
  </si>
  <si>
    <t>no endless</t>
  </si>
  <si>
    <t>No Endless</t>
  </si>
  <si>
    <t>20K</t>
  </si>
  <si>
    <t>note added about variations that are fair</t>
  </si>
  <si>
    <t>Max Moves</t>
  </si>
  <si>
    <t>Special Test</t>
  </si>
  <si>
    <t>Bad Outcome</t>
  </si>
  <si>
    <t>note added about variation that is fair</t>
  </si>
  <si>
    <t>Game</t>
  </si>
  <si>
    <t>Fewer Bad</t>
  </si>
  <si>
    <t>p-val issue</t>
  </si>
  <si>
    <t>Force
End</t>
  </si>
  <si>
    <t>note added about ways add capture last 4/8 seeds</t>
  </si>
  <si>
    <t>20k</t>
  </si>
  <si>
    <t>Filter</t>
  </si>
  <si>
    <t>bug found and fixed (fill order must be dep. on loser)</t>
  </si>
  <si>
    <t>round play removed</t>
  </si>
  <si>
    <t>bug found and fixed (occupied not enforced on leftmost hole)</t>
  </si>
  <si>
    <t>bug fixed (skipping store that should be sown)</t>
  </si>
  <si>
    <t>bug found and fixed (skipping store that should be sown)</t>
  </si>
  <si>
    <t>micro_tsoro</t>
  </si>
  <si>
    <t>changed board size to 14, bugs in ender &amp; setup, 20K moves still isn't enough to finish most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</si>
</sst>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0" fontId="0" fillId="0" borderId="0" xfId="2" applyNumberFormat="1" applyFont="1"/>
    <xf numFmtId="0" fontId="0" fillId="0" borderId="0" xfId="0" applyAlignment="1">
      <alignment horizontal="left" vertical="top" wrapText="1"/>
    </xf>
    <xf numFmtId="164" fontId="0" fillId="0" borderId="0" xfId="1" applyNumberFormat="1" applyFont="1" applyAlignment="1">
      <alignment horizontal="center" vertical="top"/>
    </xf>
    <xf numFmtId="0" fontId="0" fillId="0" borderId="0" xfId="0" applyAlignment="1">
      <alignment horizontal="center"/>
    </xf>
    <xf numFmtId="0" fontId="0" fillId="33" borderId="0" xfId="0" applyFill="1" applyAlignment="1">
      <alignment horizontal="left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33" borderId="0" xfId="0" applyFill="1"/>
    <xf numFmtId="0" fontId="0" fillId="0" borderId="0" xfId="0" applyAlignment="1">
      <alignment horizontal="center" vertical="top" wrapText="1"/>
    </xf>
    <xf numFmtId="164" fontId="0" fillId="0" borderId="0" xfId="1" applyNumberFormat="1" applyFont="1" applyFill="1"/>
    <xf numFmtId="0" fontId="0" fillId="34" borderId="0" xfId="0" applyFill="1"/>
    <xf numFmtId="0" fontId="7" fillId="3" borderId="0" xfId="9"/>
    <xf numFmtId="0" fontId="0" fillId="35" borderId="0" xfId="0" applyFill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14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143D-0630-44D1-88D2-0F6770CCC143}">
  <sheetPr codeName="Sheet1"/>
  <dimension ref="A1:AI142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5" sqref="A25"/>
    </sheetView>
  </sheetViews>
  <sheetFormatPr defaultRowHeight="15" x14ac:dyDescent="0.25"/>
  <cols>
    <col min="1" max="1" width="19.140625" customWidth="1"/>
    <col min="2" max="9" width="11.7109375" customWidth="1"/>
    <col min="19" max="20" width="10.5703125" customWidth="1"/>
    <col min="21" max="21" width="3.28515625" customWidth="1"/>
    <col min="22" max="22" width="11.7109375" customWidth="1"/>
    <col min="23" max="23" width="2.85546875" customWidth="1"/>
    <col min="24" max="24" width="11.42578125" customWidth="1"/>
    <col min="25" max="27" width="8.5703125" style="4" customWidth="1"/>
    <col min="28" max="28" width="8.5703125" customWidth="1"/>
    <col min="29" max="29" width="4" customWidth="1"/>
    <col min="34" max="34" width="47.140625" customWidth="1"/>
    <col min="35" max="35" width="9.140625" style="4"/>
  </cols>
  <sheetData>
    <row r="1" spans="1:35" ht="30" x14ac:dyDescent="0.25">
      <c r="A1" t="s">
        <v>172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163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15</v>
      </c>
      <c r="S1" s="6" t="s">
        <v>16</v>
      </c>
      <c r="T1" s="6" t="s">
        <v>17</v>
      </c>
      <c r="U1" s="6"/>
      <c r="V1" s="2" t="s">
        <v>158</v>
      </c>
      <c r="W1" s="6"/>
      <c r="X1" s="7" t="s">
        <v>160</v>
      </c>
      <c r="Y1" s="5" t="s">
        <v>168</v>
      </c>
      <c r="Z1" s="5" t="s">
        <v>175</v>
      </c>
      <c r="AA1" s="5" t="s">
        <v>165</v>
      </c>
      <c r="AB1" s="5" t="s">
        <v>162</v>
      </c>
      <c r="AC1" s="2"/>
      <c r="AD1" s="8" t="s">
        <v>169</v>
      </c>
      <c r="AE1" s="8" t="s">
        <v>170</v>
      </c>
      <c r="AF1" s="8" t="s">
        <v>173</v>
      </c>
      <c r="AG1" s="8" t="s">
        <v>174</v>
      </c>
      <c r="AH1" s="6" t="s">
        <v>161</v>
      </c>
      <c r="AI1" s="10" t="s">
        <v>178</v>
      </c>
    </row>
    <row r="2" spans="1:35" x14ac:dyDescent="0.25">
      <c r="A2" t="s">
        <v>18</v>
      </c>
      <c r="B2">
        <v>0</v>
      </c>
      <c r="C2">
        <v>0</v>
      </c>
      <c r="D2">
        <v>3056</v>
      </c>
      <c r="E2">
        <v>3284</v>
      </c>
      <c r="F2">
        <v>23784</v>
      </c>
      <c r="G2">
        <v>23091</v>
      </c>
      <c r="H2">
        <v>23160</v>
      </c>
      <c r="I2">
        <v>23625</v>
      </c>
      <c r="J2">
        <v>0</v>
      </c>
      <c r="L2">
        <v>46785</v>
      </c>
      <c r="M2">
        <v>47409</v>
      </c>
      <c r="N2" s="1">
        <v>0.49951953875720689</v>
      </c>
      <c r="O2" s="1">
        <v>0.50618193465727102</v>
      </c>
      <c r="P2" s="1">
        <v>6.3399999999999998E-2</v>
      </c>
      <c r="Q2">
        <v>0.76869680268942386</v>
      </c>
      <c r="R2">
        <v>1.5443404953375059E-4</v>
      </c>
      <c r="S2" t="b">
        <v>1</v>
      </c>
      <c r="T2" t="b">
        <v>0</v>
      </c>
      <c r="V2" s="3"/>
      <c r="X2" s="11">
        <f t="shared" ref="X2:X33" si="0">SUM(B2:I2)</f>
        <v>100000</v>
      </c>
      <c r="AD2" t="b" cm="1">
        <f t="array" ref="AD2">OR(NOT(ISBLANK(Y2:AB2)))</f>
        <v>0</v>
      </c>
      <c r="AE2" t="b">
        <f t="shared" ref="AE2:AE33" si="1">OR(NOT(S2),AND(Q2&gt;0.05, Q2&lt;0.15), P2&gt;0.1,O2&gt;0.6, O2&lt;0.4,L2&lt;8000,(C2/X2)&gt;0.05, (B2/X2)&gt;0.05)</f>
        <v>0</v>
      </c>
      <c r="AF2" t="b">
        <f t="shared" ref="AF2:AF33" si="2">OR(NOT(S2), AND(Q2&gt;0.05, Q2&lt;0.15), L2&lt;8000,(C2/X2)&gt;0.05, (B2/X2)&gt;0.05)</f>
        <v>0</v>
      </c>
      <c r="AG2" t="b">
        <f t="shared" ref="AG2:AG33" si="3">OR(AND(Q2&lt;=0.15, Q2&gt;0.001), AND(R2&lt;=0.15, R2&gt;0.001))</f>
        <v>0</v>
      </c>
    </row>
    <row r="3" spans="1:35" x14ac:dyDescent="0.25">
      <c r="A3" t="s">
        <v>19</v>
      </c>
      <c r="B3">
        <v>0</v>
      </c>
      <c r="C3">
        <v>653</v>
      </c>
      <c r="D3">
        <v>0</v>
      </c>
      <c r="E3">
        <v>0</v>
      </c>
      <c r="F3">
        <v>47454</v>
      </c>
      <c r="G3">
        <v>51832</v>
      </c>
      <c r="H3">
        <v>52236</v>
      </c>
      <c r="I3">
        <v>47825</v>
      </c>
      <c r="J3">
        <v>653</v>
      </c>
      <c r="K3">
        <v>337</v>
      </c>
      <c r="L3">
        <v>100061</v>
      </c>
      <c r="M3">
        <v>95279</v>
      </c>
      <c r="N3" s="1">
        <v>0.50194384665934277</v>
      </c>
      <c r="O3" s="1">
        <v>0.47795552478843423</v>
      </c>
      <c r="P3" s="1">
        <v>0</v>
      </c>
      <c r="Q3">
        <v>8.2601207409401009E-2</v>
      </c>
      <c r="R3">
        <v>2.9014619341057253E-86</v>
      </c>
      <c r="S3" t="b">
        <v>1</v>
      </c>
      <c r="T3" t="b">
        <v>0</v>
      </c>
      <c r="V3" s="3"/>
      <c r="X3" s="11">
        <f t="shared" si="0"/>
        <v>200000</v>
      </c>
      <c r="AD3" t="b" cm="1">
        <f t="array" ref="AD3">OR(NOT(ISBLANK(Y3:AB3)))</f>
        <v>0</v>
      </c>
      <c r="AE3" t="b">
        <f t="shared" si="1"/>
        <v>1</v>
      </c>
      <c r="AF3" t="b">
        <f t="shared" si="2"/>
        <v>1</v>
      </c>
      <c r="AG3" t="b">
        <f t="shared" si="3"/>
        <v>1</v>
      </c>
    </row>
    <row r="4" spans="1:35" x14ac:dyDescent="0.25">
      <c r="A4" t="s">
        <v>20</v>
      </c>
      <c r="B4">
        <v>0</v>
      </c>
      <c r="C4">
        <v>1699</v>
      </c>
      <c r="D4">
        <v>0</v>
      </c>
      <c r="E4">
        <v>0</v>
      </c>
      <c r="F4">
        <v>23147</v>
      </c>
      <c r="G4">
        <v>25934</v>
      </c>
      <c r="H4">
        <v>26007</v>
      </c>
      <c r="I4">
        <v>23213</v>
      </c>
      <c r="J4">
        <v>1699</v>
      </c>
      <c r="K4">
        <v>413</v>
      </c>
      <c r="L4">
        <v>49220</v>
      </c>
      <c r="M4">
        <v>46360</v>
      </c>
      <c r="N4" s="1">
        <v>0.50070701213619395</v>
      </c>
      <c r="O4" s="1">
        <v>0.4716126997690766</v>
      </c>
      <c r="P4" s="1">
        <v>0</v>
      </c>
      <c r="Q4">
        <v>0.65752062819046375</v>
      </c>
      <c r="R4">
        <v>6.9997028190396052E-71</v>
      </c>
      <c r="S4" t="b">
        <v>1</v>
      </c>
      <c r="T4" t="b">
        <v>0</v>
      </c>
      <c r="V4" s="3"/>
      <c r="X4" s="11">
        <f t="shared" si="0"/>
        <v>100000</v>
      </c>
      <c r="AD4" t="b" cm="1">
        <f t="array" ref="AD4">OR(NOT(ISBLANK(Y4:AB4)))</f>
        <v>0</v>
      </c>
      <c r="AE4" t="b">
        <f t="shared" si="1"/>
        <v>0</v>
      </c>
      <c r="AF4" t="b">
        <f t="shared" si="2"/>
        <v>0</v>
      </c>
      <c r="AG4" t="b">
        <f t="shared" si="3"/>
        <v>0</v>
      </c>
    </row>
    <row r="5" spans="1:35" x14ac:dyDescent="0.25">
      <c r="A5" t="s">
        <v>22</v>
      </c>
      <c r="B5">
        <v>732</v>
      </c>
      <c r="C5">
        <v>0</v>
      </c>
      <c r="D5">
        <v>2509</v>
      </c>
      <c r="E5">
        <v>2483</v>
      </c>
      <c r="F5">
        <v>22760</v>
      </c>
      <c r="G5">
        <v>24338</v>
      </c>
      <c r="H5">
        <v>24366</v>
      </c>
      <c r="I5">
        <v>22812</v>
      </c>
      <c r="J5">
        <v>732</v>
      </c>
      <c r="K5">
        <v>0</v>
      </c>
      <c r="L5">
        <v>47178</v>
      </c>
      <c r="M5">
        <v>45572</v>
      </c>
      <c r="N5" s="1">
        <v>0.50042428613857182</v>
      </c>
      <c r="O5" s="1">
        <v>0.48338919767491195</v>
      </c>
      <c r="P5" s="1">
        <v>4.9919999999999999E-2</v>
      </c>
      <c r="Q5">
        <v>0.79444032236034956</v>
      </c>
      <c r="R5">
        <v>1.9726775990943142E-24</v>
      </c>
      <c r="S5" t="b">
        <v>1</v>
      </c>
      <c r="T5" t="b">
        <v>0</v>
      </c>
      <c r="V5" s="3"/>
      <c r="X5" s="11">
        <f t="shared" si="0"/>
        <v>100000</v>
      </c>
      <c r="AD5" t="b" cm="1">
        <f t="array" ref="AD5">OR(NOT(ISBLANK(Y5:AB5)))</f>
        <v>0</v>
      </c>
      <c r="AE5" t="b">
        <f t="shared" si="1"/>
        <v>0</v>
      </c>
      <c r="AF5" t="b">
        <f t="shared" si="2"/>
        <v>0</v>
      </c>
      <c r="AG5" t="b">
        <f t="shared" si="3"/>
        <v>0</v>
      </c>
    </row>
    <row r="6" spans="1:35" x14ac:dyDescent="0.25">
      <c r="A6" s="14" t="s">
        <v>23</v>
      </c>
      <c r="B6">
        <v>1</v>
      </c>
      <c r="C6">
        <v>1799</v>
      </c>
      <c r="D6">
        <v>607</v>
      </c>
      <c r="E6">
        <v>625</v>
      </c>
      <c r="F6">
        <v>23724</v>
      </c>
      <c r="G6">
        <v>23903</v>
      </c>
      <c r="H6">
        <v>24787</v>
      </c>
      <c r="I6">
        <v>24554</v>
      </c>
      <c r="K6">
        <v>1800</v>
      </c>
      <c r="L6">
        <v>49341</v>
      </c>
      <c r="M6">
        <v>48278</v>
      </c>
      <c r="N6" s="1">
        <v>0.50883796716442542</v>
      </c>
      <c r="O6" s="1">
        <v>0.4978755878227869</v>
      </c>
      <c r="P6" s="1">
        <v>1.2319999999999999E-2</v>
      </c>
      <c r="Q6">
        <v>3.7078455008636148E-8</v>
      </c>
      <c r="R6">
        <v>0.18581192312018263</v>
      </c>
      <c r="S6" t="b">
        <v>0</v>
      </c>
      <c r="T6" t="b">
        <v>1</v>
      </c>
      <c r="V6" s="3"/>
      <c r="X6" s="11">
        <f t="shared" si="0"/>
        <v>100000</v>
      </c>
      <c r="AD6" t="b" cm="1">
        <f t="array" ref="AD6">OR(NOT(ISBLANK(Y6:AB6)))</f>
        <v>0</v>
      </c>
      <c r="AE6" t="b">
        <f t="shared" si="1"/>
        <v>1</v>
      </c>
      <c r="AF6" t="b">
        <f t="shared" si="2"/>
        <v>1</v>
      </c>
      <c r="AG6" t="b">
        <f t="shared" si="3"/>
        <v>0</v>
      </c>
      <c r="AH6" t="s">
        <v>171</v>
      </c>
    </row>
    <row r="7" spans="1:35" x14ac:dyDescent="0.25">
      <c r="A7" t="s">
        <v>21</v>
      </c>
      <c r="B7">
        <v>0</v>
      </c>
      <c r="C7">
        <v>0</v>
      </c>
      <c r="D7">
        <v>3283</v>
      </c>
      <c r="E7">
        <v>3288</v>
      </c>
      <c r="F7">
        <v>48537</v>
      </c>
      <c r="G7">
        <v>47937</v>
      </c>
      <c r="H7">
        <v>48180</v>
      </c>
      <c r="I7">
        <v>48775</v>
      </c>
      <c r="J7">
        <v>0</v>
      </c>
      <c r="K7">
        <v>0</v>
      </c>
      <c r="L7">
        <v>96955</v>
      </c>
      <c r="M7">
        <v>97312</v>
      </c>
      <c r="N7" s="1">
        <v>0.50124335027322686</v>
      </c>
      <c r="O7" s="1">
        <v>0.50308898872454488</v>
      </c>
      <c r="P7" s="1">
        <v>3.2855000000000002E-2</v>
      </c>
      <c r="Q7">
        <v>0.27410196395196268</v>
      </c>
      <c r="R7">
        <v>6.5854852092007672E-3</v>
      </c>
      <c r="S7" t="b">
        <v>1</v>
      </c>
      <c r="T7" t="b">
        <v>0</v>
      </c>
      <c r="V7" s="3"/>
      <c r="X7" s="11">
        <f t="shared" si="0"/>
        <v>200000</v>
      </c>
      <c r="AD7" t="b" cm="1">
        <f t="array" ref="AD7">OR(NOT(ISBLANK(Y7:AB7)))</f>
        <v>0</v>
      </c>
      <c r="AE7" t="b">
        <f t="shared" si="1"/>
        <v>0</v>
      </c>
      <c r="AF7" t="b">
        <f t="shared" si="2"/>
        <v>0</v>
      </c>
      <c r="AG7" t="b">
        <f t="shared" si="3"/>
        <v>1</v>
      </c>
    </row>
    <row r="8" spans="1:35" x14ac:dyDescent="0.25">
      <c r="A8" t="s">
        <v>25</v>
      </c>
      <c r="B8">
        <v>2</v>
      </c>
      <c r="C8">
        <v>0</v>
      </c>
      <c r="D8">
        <v>1077</v>
      </c>
      <c r="E8">
        <v>1032</v>
      </c>
      <c r="F8">
        <v>24333</v>
      </c>
      <c r="G8">
        <v>24528</v>
      </c>
      <c r="H8">
        <v>24589</v>
      </c>
      <c r="I8">
        <v>24439</v>
      </c>
      <c r="J8">
        <v>2</v>
      </c>
      <c r="K8">
        <v>0</v>
      </c>
      <c r="L8">
        <v>49028</v>
      </c>
      <c r="M8">
        <v>48772</v>
      </c>
      <c r="N8" s="1">
        <v>0.50085300697729063</v>
      </c>
      <c r="O8" s="1">
        <v>0.49823779995709427</v>
      </c>
      <c r="P8" s="1">
        <v>2.1090000000000001E-2</v>
      </c>
      <c r="Q8">
        <v>0.59350461451289305</v>
      </c>
      <c r="R8">
        <v>0.27016323046080443</v>
      </c>
      <c r="S8" t="b">
        <v>1</v>
      </c>
      <c r="T8" t="b">
        <v>1</v>
      </c>
      <c r="V8" s="3"/>
      <c r="X8" s="11">
        <f t="shared" si="0"/>
        <v>100000</v>
      </c>
      <c r="AD8" t="b" cm="1">
        <f t="array" ref="AD8">OR(NOT(ISBLANK(Y8:AB8)))</f>
        <v>0</v>
      </c>
      <c r="AE8" t="b">
        <f t="shared" si="1"/>
        <v>0</v>
      </c>
      <c r="AF8" t="b">
        <f t="shared" si="2"/>
        <v>0</v>
      </c>
      <c r="AG8" t="b">
        <f t="shared" si="3"/>
        <v>0</v>
      </c>
    </row>
    <row r="9" spans="1:35" x14ac:dyDescent="0.25">
      <c r="A9" t="s">
        <v>26</v>
      </c>
      <c r="B9">
        <v>0</v>
      </c>
      <c r="C9">
        <v>0</v>
      </c>
      <c r="D9">
        <v>1659</v>
      </c>
      <c r="E9">
        <v>1566</v>
      </c>
      <c r="F9">
        <v>24841</v>
      </c>
      <c r="G9">
        <v>23644</v>
      </c>
      <c r="H9">
        <v>23500</v>
      </c>
      <c r="I9">
        <v>24790</v>
      </c>
      <c r="J9">
        <v>0</v>
      </c>
      <c r="K9">
        <v>92</v>
      </c>
      <c r="L9">
        <v>48290</v>
      </c>
      <c r="M9">
        <v>49631</v>
      </c>
      <c r="N9" s="1">
        <v>0.49899250839576337</v>
      </c>
      <c r="O9" s="1">
        <v>0.5128493929217256</v>
      </c>
      <c r="P9" s="1">
        <v>3.2250000000000001E-2</v>
      </c>
      <c r="Q9">
        <v>0.53076760313516591</v>
      </c>
      <c r="R9">
        <v>1.3004462870006332E-15</v>
      </c>
      <c r="S9" t="b">
        <v>1</v>
      </c>
      <c r="T9" t="b">
        <v>0</v>
      </c>
      <c r="V9" s="3"/>
      <c r="X9" s="11">
        <f t="shared" si="0"/>
        <v>100000</v>
      </c>
      <c r="Z9" s="4" t="s">
        <v>159</v>
      </c>
      <c r="AD9" t="b" cm="1">
        <f t="array" ref="AD9">OR(NOT(ISBLANK(Y9:AB9)))</f>
        <v>1</v>
      </c>
      <c r="AE9" t="b">
        <f t="shared" si="1"/>
        <v>0</v>
      </c>
      <c r="AF9" t="b">
        <f t="shared" si="2"/>
        <v>0</v>
      </c>
      <c r="AG9" t="b">
        <f t="shared" si="3"/>
        <v>0</v>
      </c>
    </row>
    <row r="10" spans="1:35" x14ac:dyDescent="0.25">
      <c r="A10" t="s">
        <v>24</v>
      </c>
      <c r="B10">
        <v>2586</v>
      </c>
      <c r="C10">
        <v>0</v>
      </c>
      <c r="D10">
        <v>222</v>
      </c>
      <c r="E10">
        <v>230</v>
      </c>
      <c r="F10">
        <v>49540</v>
      </c>
      <c r="G10">
        <v>49178</v>
      </c>
      <c r="H10">
        <v>48912</v>
      </c>
      <c r="I10">
        <v>49332</v>
      </c>
      <c r="J10">
        <v>2586</v>
      </c>
      <c r="K10">
        <v>0</v>
      </c>
      <c r="L10">
        <v>98244</v>
      </c>
      <c r="M10">
        <v>98872</v>
      </c>
      <c r="N10" s="1">
        <v>0.49879672221037563</v>
      </c>
      <c r="O10" s="1">
        <v>0.50198515449680647</v>
      </c>
      <c r="P10" s="1">
        <v>2.2599999999999999E-3</v>
      </c>
      <c r="Q10">
        <v>0.28550291167079656</v>
      </c>
      <c r="R10">
        <v>7.8062699028248306E-2</v>
      </c>
      <c r="S10" t="b">
        <v>1</v>
      </c>
      <c r="T10" t="b">
        <v>1</v>
      </c>
      <c r="V10" s="3"/>
      <c r="X10" s="11">
        <f t="shared" si="0"/>
        <v>200000</v>
      </c>
      <c r="AD10" t="b" cm="1">
        <f t="array" ref="AD10">OR(NOT(ISBLANK(Y10:AB10)))</f>
        <v>0</v>
      </c>
      <c r="AE10" t="b">
        <f t="shared" si="1"/>
        <v>0</v>
      </c>
      <c r="AF10" t="b">
        <f t="shared" si="2"/>
        <v>0</v>
      </c>
      <c r="AG10" t="b">
        <f t="shared" si="3"/>
        <v>1</v>
      </c>
    </row>
    <row r="11" spans="1:35" x14ac:dyDescent="0.25">
      <c r="A11" t="s">
        <v>27</v>
      </c>
      <c r="B11">
        <v>0</v>
      </c>
      <c r="C11">
        <v>0</v>
      </c>
      <c r="D11">
        <v>1</v>
      </c>
      <c r="E11">
        <v>2</v>
      </c>
      <c r="F11">
        <v>24875</v>
      </c>
      <c r="G11">
        <v>25022</v>
      </c>
      <c r="H11">
        <v>25124</v>
      </c>
      <c r="I11">
        <v>24976</v>
      </c>
      <c r="J11">
        <v>0</v>
      </c>
      <c r="K11">
        <v>2</v>
      </c>
      <c r="L11">
        <v>50100</v>
      </c>
      <c r="M11">
        <v>49851</v>
      </c>
      <c r="N11" s="1">
        <v>0.50101503045091356</v>
      </c>
      <c r="O11" s="1">
        <v>0.49852495574867245</v>
      </c>
      <c r="P11" s="1">
        <v>3.0000000000000001E-5</v>
      </c>
      <c r="Q11">
        <v>0.52090435313497851</v>
      </c>
      <c r="R11">
        <v>0.35087888154610825</v>
      </c>
      <c r="S11" t="b">
        <v>1</v>
      </c>
      <c r="T11" t="b">
        <v>1</v>
      </c>
      <c r="V11" s="3"/>
      <c r="X11" s="11">
        <f t="shared" si="0"/>
        <v>100000</v>
      </c>
      <c r="AD11" t="b" cm="1">
        <f t="array" ref="AD11">OR(NOT(ISBLANK(Y11:AB11)))</f>
        <v>0</v>
      </c>
      <c r="AE11" t="b">
        <f t="shared" si="1"/>
        <v>0</v>
      </c>
      <c r="AF11" t="b">
        <f t="shared" si="2"/>
        <v>0</v>
      </c>
      <c r="AG11" t="b">
        <f t="shared" si="3"/>
        <v>0</v>
      </c>
    </row>
    <row r="12" spans="1:35" x14ac:dyDescent="0.25">
      <c r="A12" t="s">
        <v>28</v>
      </c>
      <c r="B12">
        <v>1425</v>
      </c>
      <c r="C12">
        <v>124</v>
      </c>
      <c r="D12">
        <v>666</v>
      </c>
      <c r="E12">
        <v>660</v>
      </c>
      <c r="F12">
        <v>24380</v>
      </c>
      <c r="G12">
        <v>24385</v>
      </c>
      <c r="H12">
        <v>24152</v>
      </c>
      <c r="I12">
        <v>24208</v>
      </c>
      <c r="J12">
        <v>1549</v>
      </c>
      <c r="K12">
        <v>0</v>
      </c>
      <c r="L12">
        <v>48360</v>
      </c>
      <c r="M12">
        <v>48588</v>
      </c>
      <c r="N12" s="1">
        <v>0.49791505791505791</v>
      </c>
      <c r="O12" s="1">
        <v>0.50026254826254823</v>
      </c>
      <c r="P12" s="1">
        <v>1.3259999999999999E-2</v>
      </c>
      <c r="Q12">
        <v>0.19375882357014881</v>
      </c>
      <c r="R12">
        <v>0.87001004782957359</v>
      </c>
      <c r="S12" t="b">
        <v>1</v>
      </c>
      <c r="T12" t="b">
        <v>1</v>
      </c>
      <c r="V12" s="3"/>
      <c r="X12" s="11">
        <f t="shared" si="0"/>
        <v>100000</v>
      </c>
      <c r="AD12" t="b" cm="1">
        <f t="array" ref="AD12">OR(NOT(ISBLANK(Y12:AB12)))</f>
        <v>0</v>
      </c>
      <c r="AE12" t="b">
        <f t="shared" si="1"/>
        <v>0</v>
      </c>
      <c r="AF12" t="b">
        <f t="shared" si="2"/>
        <v>0</v>
      </c>
      <c r="AG12" t="b">
        <f t="shared" si="3"/>
        <v>0</v>
      </c>
    </row>
    <row r="13" spans="1:35" x14ac:dyDescent="0.25">
      <c r="A13" t="s">
        <v>29</v>
      </c>
      <c r="B13">
        <v>0</v>
      </c>
      <c r="C13">
        <v>24</v>
      </c>
      <c r="D13">
        <v>8996</v>
      </c>
      <c r="E13">
        <v>9069</v>
      </c>
      <c r="F13">
        <v>21030</v>
      </c>
      <c r="G13">
        <v>19910</v>
      </c>
      <c r="H13">
        <v>19962</v>
      </c>
      <c r="I13">
        <v>21009</v>
      </c>
      <c r="J13">
        <v>24</v>
      </c>
      <c r="K13">
        <v>0</v>
      </c>
      <c r="L13">
        <v>40971</v>
      </c>
      <c r="M13">
        <v>42039</v>
      </c>
      <c r="N13" s="1">
        <v>0.50018922977377889</v>
      </c>
      <c r="O13" s="1">
        <v>0.51322777160576727</v>
      </c>
      <c r="P13" s="1">
        <v>0.18065000000000001</v>
      </c>
      <c r="Q13">
        <v>0.91374543346521819</v>
      </c>
      <c r="R13">
        <v>3.6864845137195355E-14</v>
      </c>
      <c r="S13" t="b">
        <v>1</v>
      </c>
      <c r="T13" t="b">
        <v>0</v>
      </c>
      <c r="V13" s="3"/>
      <c r="X13" s="11">
        <f t="shared" si="0"/>
        <v>100000</v>
      </c>
      <c r="Y13" s="4" t="s">
        <v>166</v>
      </c>
      <c r="AD13" t="b" cm="1">
        <f t="array" ref="AD13">OR(NOT(ISBLANK(Y13:AB13)))</f>
        <v>1</v>
      </c>
      <c r="AE13" t="b">
        <f t="shared" si="1"/>
        <v>1</v>
      </c>
      <c r="AF13" t="b">
        <f t="shared" si="2"/>
        <v>0</v>
      </c>
      <c r="AG13" t="b">
        <f t="shared" si="3"/>
        <v>0</v>
      </c>
    </row>
    <row r="14" spans="1:35" x14ac:dyDescent="0.25">
      <c r="A14" t="s">
        <v>30</v>
      </c>
      <c r="B14">
        <v>0</v>
      </c>
      <c r="C14">
        <v>0</v>
      </c>
      <c r="D14">
        <v>1180</v>
      </c>
      <c r="E14">
        <v>1190</v>
      </c>
      <c r="F14">
        <v>23939</v>
      </c>
      <c r="G14">
        <v>24918</v>
      </c>
      <c r="H14">
        <v>24881</v>
      </c>
      <c r="I14">
        <v>23892</v>
      </c>
      <c r="J14">
        <v>0</v>
      </c>
      <c r="K14">
        <v>0</v>
      </c>
      <c r="L14">
        <v>48773</v>
      </c>
      <c r="M14">
        <v>47831</v>
      </c>
      <c r="N14" s="1">
        <v>0.49956980436341286</v>
      </c>
      <c r="O14" s="1">
        <v>0.48992113079995903</v>
      </c>
      <c r="P14" s="1">
        <v>2.3699999999999999E-2</v>
      </c>
      <c r="Q14">
        <v>0.78805578568433277</v>
      </c>
      <c r="R14">
        <v>3.0064332234658247E-10</v>
      </c>
      <c r="S14" t="b">
        <v>1</v>
      </c>
      <c r="T14" t="b">
        <v>0</v>
      </c>
      <c r="V14" s="3"/>
      <c r="X14" s="11">
        <f t="shared" si="0"/>
        <v>100000</v>
      </c>
      <c r="Y14" s="4" t="s">
        <v>166</v>
      </c>
      <c r="Z14" s="4" t="s">
        <v>159</v>
      </c>
      <c r="AD14" t="b" cm="1">
        <f t="array" ref="AD14">OR(NOT(ISBLANK(Y14:AB14)))</f>
        <v>1</v>
      </c>
      <c r="AE14" t="b">
        <f t="shared" si="1"/>
        <v>0</v>
      </c>
      <c r="AF14" t="b">
        <f t="shared" si="2"/>
        <v>0</v>
      </c>
      <c r="AG14" t="b">
        <f t="shared" si="3"/>
        <v>0</v>
      </c>
    </row>
    <row r="15" spans="1:35" x14ac:dyDescent="0.25">
      <c r="A15" t="s">
        <v>31</v>
      </c>
      <c r="B15">
        <v>0</v>
      </c>
      <c r="C15">
        <v>0</v>
      </c>
      <c r="D15">
        <v>2747</v>
      </c>
      <c r="E15">
        <v>2881</v>
      </c>
      <c r="F15">
        <v>24750</v>
      </c>
      <c r="G15">
        <v>22350</v>
      </c>
      <c r="H15">
        <v>22503</v>
      </c>
      <c r="I15">
        <v>24769</v>
      </c>
      <c r="J15">
        <v>0</v>
      </c>
      <c r="K15">
        <v>518</v>
      </c>
      <c r="L15">
        <v>47272</v>
      </c>
      <c r="M15">
        <v>49519</v>
      </c>
      <c r="N15" s="1">
        <v>0.50091128724621714</v>
      </c>
      <c r="O15" s="1">
        <v>0.52472131564447078</v>
      </c>
      <c r="P15" s="1">
        <v>5.6279999999999997E-2</v>
      </c>
      <c r="Q15">
        <v>0.57555081473561032</v>
      </c>
      <c r="R15">
        <v>4.1959863363877231E-52</v>
      </c>
      <c r="S15" t="b">
        <v>1</v>
      </c>
      <c r="T15" t="b">
        <v>0</v>
      </c>
      <c r="V15" s="3"/>
      <c r="X15" s="11">
        <f t="shared" si="0"/>
        <v>100000</v>
      </c>
      <c r="AD15" t="b" cm="1">
        <f t="array" ref="AD15">OR(NOT(ISBLANK(Y15:AB15)))</f>
        <v>0</v>
      </c>
      <c r="AE15" t="b">
        <f t="shared" si="1"/>
        <v>0</v>
      </c>
      <c r="AF15" t="b">
        <f t="shared" si="2"/>
        <v>0</v>
      </c>
      <c r="AG15" t="b">
        <f t="shared" si="3"/>
        <v>0</v>
      </c>
    </row>
    <row r="16" spans="1:35" x14ac:dyDescent="0.25">
      <c r="A16" s="9" t="s">
        <v>32</v>
      </c>
      <c r="B16">
        <v>0</v>
      </c>
      <c r="C16" s="13">
        <v>10735</v>
      </c>
      <c r="D16">
        <v>0</v>
      </c>
      <c r="E16">
        <v>0</v>
      </c>
      <c r="F16">
        <v>22183</v>
      </c>
      <c r="G16">
        <v>22543</v>
      </c>
      <c r="H16">
        <v>22336</v>
      </c>
      <c r="I16">
        <v>22203</v>
      </c>
      <c r="J16">
        <v>10735</v>
      </c>
      <c r="K16">
        <v>0</v>
      </c>
      <c r="L16">
        <v>44539</v>
      </c>
      <c r="M16">
        <v>44386</v>
      </c>
      <c r="N16" s="1">
        <v>0.49895255699322244</v>
      </c>
      <c r="O16" s="1">
        <v>0.49723855934576822</v>
      </c>
      <c r="P16" s="1">
        <v>0</v>
      </c>
      <c r="Q16">
        <v>0.53138426835492636</v>
      </c>
      <c r="R16">
        <v>9.8925553621928494E-2</v>
      </c>
      <c r="S16" t="b">
        <v>1</v>
      </c>
      <c r="T16" t="b">
        <v>1</v>
      </c>
      <c r="V16" s="3"/>
      <c r="X16" s="11">
        <f t="shared" si="0"/>
        <v>100000</v>
      </c>
      <c r="Y16" s="4" t="s">
        <v>166</v>
      </c>
      <c r="AD16" t="b" cm="1">
        <f t="array" ref="AD16">OR(NOT(ISBLANK(Y16:AB16)))</f>
        <v>1</v>
      </c>
      <c r="AE16" t="b">
        <f t="shared" si="1"/>
        <v>1</v>
      </c>
      <c r="AF16" t="b">
        <f t="shared" si="2"/>
        <v>1</v>
      </c>
      <c r="AG16" t="b">
        <f t="shared" si="3"/>
        <v>1</v>
      </c>
      <c r="AH16" t="s">
        <v>185</v>
      </c>
    </row>
    <row r="17" spans="1:34" x14ac:dyDescent="0.25">
      <c r="A17" t="s">
        <v>33</v>
      </c>
      <c r="B17">
        <v>0</v>
      </c>
      <c r="C17">
        <v>298</v>
      </c>
      <c r="D17">
        <v>0</v>
      </c>
      <c r="E17">
        <v>0</v>
      </c>
      <c r="F17">
        <v>25629</v>
      </c>
      <c r="G17">
        <v>24172</v>
      </c>
      <c r="H17">
        <v>24209</v>
      </c>
      <c r="I17">
        <v>25692</v>
      </c>
      <c r="J17">
        <v>119</v>
      </c>
      <c r="K17">
        <v>457</v>
      </c>
      <c r="L17">
        <v>49901</v>
      </c>
      <c r="M17">
        <v>51321</v>
      </c>
      <c r="N17" s="1">
        <v>0.50050149445347136</v>
      </c>
      <c r="O17" s="1">
        <v>0.51474393693205756</v>
      </c>
      <c r="P17" s="1">
        <v>0</v>
      </c>
      <c r="Q17">
        <v>0.75147124796082587</v>
      </c>
      <c r="R17">
        <v>1.2665819717743598E-20</v>
      </c>
      <c r="S17" t="b">
        <v>1</v>
      </c>
      <c r="T17" t="b">
        <v>0</v>
      </c>
      <c r="V17" s="3"/>
      <c r="X17" s="11">
        <f t="shared" si="0"/>
        <v>100000</v>
      </c>
      <c r="AD17" t="b" cm="1">
        <f t="array" ref="AD17">OR(NOT(ISBLANK(Y17:AB17)))</f>
        <v>0</v>
      </c>
      <c r="AE17" t="b">
        <f t="shared" si="1"/>
        <v>0</v>
      </c>
      <c r="AF17" t="b">
        <f t="shared" si="2"/>
        <v>0</v>
      </c>
      <c r="AG17" t="b">
        <f t="shared" si="3"/>
        <v>0</v>
      </c>
    </row>
    <row r="18" spans="1:34" x14ac:dyDescent="0.25">
      <c r="A18" t="s">
        <v>34</v>
      </c>
      <c r="B18">
        <v>2389</v>
      </c>
      <c r="C18">
        <v>0</v>
      </c>
      <c r="D18">
        <v>6480</v>
      </c>
      <c r="E18">
        <v>6356</v>
      </c>
      <c r="F18">
        <v>46859</v>
      </c>
      <c r="G18">
        <v>45660</v>
      </c>
      <c r="H18">
        <v>45490</v>
      </c>
      <c r="I18">
        <v>46766</v>
      </c>
      <c r="J18">
        <v>2389</v>
      </c>
      <c r="K18">
        <v>0</v>
      </c>
      <c r="L18">
        <v>92256</v>
      </c>
      <c r="M18">
        <v>93625</v>
      </c>
      <c r="N18" s="1">
        <v>0.49928832363685499</v>
      </c>
      <c r="O18" s="1">
        <v>0.50669733459612998</v>
      </c>
      <c r="P18" s="1">
        <v>6.4180000000000001E-2</v>
      </c>
      <c r="Q18">
        <v>0.54064709277103995</v>
      </c>
      <c r="R18">
        <v>8.5237158862383495E-9</v>
      </c>
      <c r="S18" t="b">
        <v>1</v>
      </c>
      <c r="T18" t="b">
        <v>0</v>
      </c>
      <c r="V18" s="3"/>
      <c r="X18" s="11">
        <f t="shared" si="0"/>
        <v>200000</v>
      </c>
      <c r="AD18" t="b" cm="1">
        <f t="array" ref="AD18">OR(NOT(ISBLANK(Y18:AB18)))</f>
        <v>0</v>
      </c>
      <c r="AE18" t="b">
        <f t="shared" si="1"/>
        <v>0</v>
      </c>
      <c r="AF18" t="b">
        <f t="shared" si="2"/>
        <v>0</v>
      </c>
      <c r="AG18" t="b">
        <f t="shared" si="3"/>
        <v>0</v>
      </c>
    </row>
    <row r="19" spans="1:34" x14ac:dyDescent="0.25">
      <c r="A19" t="s">
        <v>35</v>
      </c>
      <c r="B19">
        <v>283</v>
      </c>
      <c r="C19">
        <v>2</v>
      </c>
      <c r="D19">
        <v>10</v>
      </c>
      <c r="E19">
        <v>12</v>
      </c>
      <c r="F19">
        <v>21497</v>
      </c>
      <c r="G19">
        <v>28289</v>
      </c>
      <c r="H19">
        <v>28352</v>
      </c>
      <c r="I19">
        <v>21555</v>
      </c>
      <c r="J19">
        <v>285</v>
      </c>
      <c r="K19">
        <v>22938</v>
      </c>
      <c r="L19">
        <v>49907</v>
      </c>
      <c r="M19">
        <v>43052</v>
      </c>
      <c r="N19" s="1">
        <v>0.50060686306962376</v>
      </c>
      <c r="O19" s="1">
        <v>0.4318457665031647</v>
      </c>
      <c r="P19" s="1">
        <v>2.2000000000000001E-4</v>
      </c>
      <c r="Q19">
        <v>0.70155346326168655</v>
      </c>
      <c r="R19">
        <v>0</v>
      </c>
      <c r="S19" t="b">
        <v>1</v>
      </c>
      <c r="T19" t="b">
        <v>0</v>
      </c>
      <c r="V19" s="3"/>
      <c r="X19" s="11">
        <f t="shared" si="0"/>
        <v>100000</v>
      </c>
      <c r="AD19" t="b" cm="1">
        <f t="array" ref="AD19">OR(NOT(ISBLANK(Y19:AB19)))</f>
        <v>0</v>
      </c>
      <c r="AE19" t="b">
        <f t="shared" si="1"/>
        <v>0</v>
      </c>
      <c r="AF19" t="b">
        <f t="shared" si="2"/>
        <v>0</v>
      </c>
      <c r="AG19" t="b">
        <f t="shared" si="3"/>
        <v>0</v>
      </c>
      <c r="AH19" t="s">
        <v>179</v>
      </c>
    </row>
    <row r="20" spans="1:34" x14ac:dyDescent="0.25">
      <c r="A20" t="s">
        <v>36</v>
      </c>
      <c r="B20">
        <v>9</v>
      </c>
      <c r="C20">
        <v>0</v>
      </c>
      <c r="D20">
        <v>2644</v>
      </c>
      <c r="E20">
        <v>2604</v>
      </c>
      <c r="F20">
        <v>27507</v>
      </c>
      <c r="G20">
        <v>19980</v>
      </c>
      <c r="H20">
        <v>19845</v>
      </c>
      <c r="I20">
        <v>27411</v>
      </c>
      <c r="J20">
        <v>9</v>
      </c>
      <c r="K20">
        <v>2</v>
      </c>
      <c r="L20">
        <v>47256</v>
      </c>
      <c r="M20">
        <v>54918</v>
      </c>
      <c r="N20" s="1">
        <v>0.49878091257401602</v>
      </c>
      <c r="O20" s="1">
        <v>0.5796523225990311</v>
      </c>
      <c r="P20" s="1">
        <v>5.2479999999999999E-2</v>
      </c>
      <c r="Q20">
        <v>0.45296640275106698</v>
      </c>
      <c r="R20">
        <v>0</v>
      </c>
      <c r="S20" t="b">
        <v>1</v>
      </c>
      <c r="T20" t="b">
        <v>0</v>
      </c>
      <c r="V20" s="3"/>
      <c r="X20" s="11">
        <f t="shared" si="0"/>
        <v>100000</v>
      </c>
      <c r="AD20" t="b" cm="1">
        <f t="array" ref="AD20">OR(NOT(ISBLANK(Y20:AB20)))</f>
        <v>0</v>
      </c>
      <c r="AE20" t="b">
        <f t="shared" si="1"/>
        <v>0</v>
      </c>
      <c r="AF20" t="b">
        <f t="shared" si="2"/>
        <v>0</v>
      </c>
      <c r="AG20" t="b">
        <f t="shared" si="3"/>
        <v>0</v>
      </c>
    </row>
    <row r="21" spans="1:34" x14ac:dyDescent="0.25">
      <c r="A21" t="s">
        <v>37</v>
      </c>
      <c r="B21">
        <v>0</v>
      </c>
      <c r="C21">
        <v>6243</v>
      </c>
      <c r="D21">
        <v>0</v>
      </c>
      <c r="E21">
        <v>0</v>
      </c>
      <c r="F21">
        <v>47901</v>
      </c>
      <c r="G21">
        <v>49074</v>
      </c>
      <c r="H21">
        <v>49000</v>
      </c>
      <c r="I21">
        <v>47782</v>
      </c>
      <c r="J21">
        <v>4346</v>
      </c>
      <c r="K21">
        <v>0</v>
      </c>
      <c r="L21">
        <v>96782</v>
      </c>
      <c r="M21">
        <v>95683</v>
      </c>
      <c r="N21" s="1">
        <v>0.49950195347780985</v>
      </c>
      <c r="O21" s="1">
        <v>0.49382990033908453</v>
      </c>
      <c r="P21" s="1">
        <v>0</v>
      </c>
      <c r="Q21">
        <v>0.66105386367383856</v>
      </c>
      <c r="R21">
        <v>5.5760649369085365E-8</v>
      </c>
      <c r="S21" t="b">
        <v>1</v>
      </c>
      <c r="T21" t="b">
        <v>0</v>
      </c>
      <c r="V21" s="3"/>
      <c r="X21" s="11">
        <f t="shared" si="0"/>
        <v>200000</v>
      </c>
      <c r="AD21" t="b" cm="1">
        <f t="array" ref="AD21">OR(NOT(ISBLANK(Y21:AB21)))</f>
        <v>0</v>
      </c>
      <c r="AE21" t="b">
        <f t="shared" si="1"/>
        <v>0</v>
      </c>
      <c r="AF21" t="b">
        <f t="shared" si="2"/>
        <v>0</v>
      </c>
      <c r="AG21" t="b">
        <f t="shared" si="3"/>
        <v>0</v>
      </c>
    </row>
    <row r="22" spans="1:34" x14ac:dyDescent="0.25">
      <c r="A22" t="s">
        <v>38</v>
      </c>
      <c r="B22">
        <v>560</v>
      </c>
      <c r="C22">
        <v>0</v>
      </c>
      <c r="D22">
        <v>4060</v>
      </c>
      <c r="E22">
        <v>4150</v>
      </c>
      <c r="F22">
        <v>23092</v>
      </c>
      <c r="G22">
        <v>22618</v>
      </c>
      <c r="H22">
        <v>22561</v>
      </c>
      <c r="I22">
        <v>22959</v>
      </c>
      <c r="L22">
        <v>45520</v>
      </c>
      <c r="M22">
        <v>46051</v>
      </c>
      <c r="N22" s="1">
        <v>0.4989586758741642</v>
      </c>
      <c r="O22" s="1">
        <v>0.50477912967225691</v>
      </c>
      <c r="P22" s="1">
        <v>8.2100000000000006E-2</v>
      </c>
      <c r="Q22">
        <v>0.52931670512606099</v>
      </c>
      <c r="R22">
        <v>3.8892713389689611E-3</v>
      </c>
      <c r="S22" t="b">
        <v>1</v>
      </c>
      <c r="T22" t="b">
        <v>0</v>
      </c>
      <c r="V22" s="3"/>
      <c r="X22" s="11">
        <f t="shared" si="0"/>
        <v>100000</v>
      </c>
      <c r="AD22" t="b" cm="1">
        <f t="array" ref="AD22">OR(NOT(ISBLANK(Y22:AB22)))</f>
        <v>0</v>
      </c>
      <c r="AE22" t="b">
        <f t="shared" si="1"/>
        <v>0</v>
      </c>
      <c r="AF22" t="b">
        <f t="shared" si="2"/>
        <v>0</v>
      </c>
      <c r="AG22" t="b">
        <f t="shared" si="3"/>
        <v>1</v>
      </c>
    </row>
    <row r="23" spans="1:34" x14ac:dyDescent="0.25">
      <c r="A23" t="s">
        <v>39</v>
      </c>
      <c r="B23">
        <v>0</v>
      </c>
      <c r="C23">
        <v>0</v>
      </c>
      <c r="D23">
        <v>0</v>
      </c>
      <c r="E23">
        <v>4</v>
      </c>
      <c r="F23">
        <v>25490</v>
      </c>
      <c r="G23">
        <v>24525</v>
      </c>
      <c r="H23">
        <v>24510</v>
      </c>
      <c r="I23">
        <v>25471</v>
      </c>
      <c r="J23">
        <v>0</v>
      </c>
      <c r="K23">
        <v>2</v>
      </c>
      <c r="L23">
        <v>49981</v>
      </c>
      <c r="M23">
        <v>50961</v>
      </c>
      <c r="N23" s="1">
        <v>0.49982999319972798</v>
      </c>
      <c r="O23" s="1">
        <v>0.5096303852154086</v>
      </c>
      <c r="P23" s="1">
        <v>4.0000000000000003E-5</v>
      </c>
      <c r="Q23">
        <v>0.914376784154593</v>
      </c>
      <c r="R23">
        <v>1.1244010474630665E-9</v>
      </c>
      <c r="S23" t="b">
        <v>1</v>
      </c>
      <c r="T23" t="b">
        <v>0</v>
      </c>
      <c r="V23" s="3"/>
      <c r="X23" s="11">
        <f t="shared" si="0"/>
        <v>100000</v>
      </c>
      <c r="AD23" t="b" cm="1">
        <f t="array" ref="AD23">OR(NOT(ISBLANK(Y23:AB23)))</f>
        <v>0</v>
      </c>
      <c r="AE23" t="b">
        <f t="shared" si="1"/>
        <v>0</v>
      </c>
      <c r="AF23" t="b">
        <f t="shared" si="2"/>
        <v>0</v>
      </c>
      <c r="AG23" t="b">
        <f t="shared" si="3"/>
        <v>0</v>
      </c>
    </row>
    <row r="24" spans="1:34" x14ac:dyDescent="0.25">
      <c r="A24" t="s">
        <v>40</v>
      </c>
      <c r="B24">
        <v>0</v>
      </c>
      <c r="C24">
        <v>0</v>
      </c>
      <c r="D24">
        <v>1027</v>
      </c>
      <c r="E24">
        <v>1023</v>
      </c>
      <c r="F24">
        <v>78847</v>
      </c>
      <c r="G24">
        <v>70599</v>
      </c>
      <c r="H24">
        <v>70126</v>
      </c>
      <c r="I24">
        <v>78378</v>
      </c>
      <c r="J24">
        <v>0</v>
      </c>
      <c r="K24">
        <v>32</v>
      </c>
      <c r="L24">
        <v>148504</v>
      </c>
      <c r="M24">
        <v>157225</v>
      </c>
      <c r="N24" s="1">
        <v>0.49841919785198857</v>
      </c>
      <c r="O24" s="1">
        <v>0.52768920959892596</v>
      </c>
      <c r="P24" s="1">
        <v>6.8333333333333336E-3</v>
      </c>
      <c r="Q24">
        <v>8.4391450322844494E-2</v>
      </c>
      <c r="R24">
        <v>1.0094466069505381E-200</v>
      </c>
      <c r="S24" t="b">
        <v>1</v>
      </c>
      <c r="T24" t="b">
        <v>0</v>
      </c>
      <c r="V24" s="3"/>
      <c r="X24" s="11">
        <f t="shared" si="0"/>
        <v>300000</v>
      </c>
      <c r="Z24" s="4" t="s">
        <v>159</v>
      </c>
      <c r="AD24" t="b" cm="1">
        <f t="array" ref="AD24">OR(NOT(ISBLANK(Y24:AB24)))</f>
        <v>1</v>
      </c>
      <c r="AE24" t="b">
        <f t="shared" si="1"/>
        <v>1</v>
      </c>
      <c r="AF24" t="b">
        <f t="shared" si="2"/>
        <v>1</v>
      </c>
      <c r="AG24" t="b">
        <f t="shared" si="3"/>
        <v>1</v>
      </c>
    </row>
    <row r="25" spans="1:34" x14ac:dyDescent="0.25">
      <c r="A25" s="9" t="s">
        <v>41</v>
      </c>
      <c r="B25">
        <v>942</v>
      </c>
      <c r="C25" s="13">
        <v>46633</v>
      </c>
      <c r="D25">
        <v>1136</v>
      </c>
      <c r="E25">
        <v>1072</v>
      </c>
      <c r="F25">
        <v>19352</v>
      </c>
      <c r="G25">
        <v>5583</v>
      </c>
      <c r="H25">
        <v>5640</v>
      </c>
      <c r="I25">
        <v>19642</v>
      </c>
      <c r="J25">
        <v>47575</v>
      </c>
      <c r="K25">
        <v>199</v>
      </c>
      <c r="L25">
        <v>25282</v>
      </c>
      <c r="M25">
        <v>38994</v>
      </c>
      <c r="N25" s="1">
        <v>0.50345500527709741</v>
      </c>
      <c r="O25" s="1">
        <v>0.77650994683075447</v>
      </c>
      <c r="P25" s="1">
        <v>2.2079999999999999E-2</v>
      </c>
      <c r="Q25">
        <v>0.12150806662606174</v>
      </c>
      <c r="R25">
        <v>0</v>
      </c>
      <c r="S25" t="b">
        <v>1</v>
      </c>
      <c r="T25" t="b">
        <v>0</v>
      </c>
      <c r="V25" s="3"/>
      <c r="X25" s="11">
        <f t="shared" si="0"/>
        <v>100000</v>
      </c>
      <c r="Y25" s="4" t="s">
        <v>177</v>
      </c>
      <c r="AD25" t="b" cm="1">
        <f t="array" ref="AD25">OR(NOT(ISBLANK(Y25:AB25)))</f>
        <v>1</v>
      </c>
      <c r="AE25" t="b">
        <f t="shared" si="1"/>
        <v>1</v>
      </c>
      <c r="AF25" t="b">
        <f t="shared" si="2"/>
        <v>1</v>
      </c>
      <c r="AG25" t="b">
        <f t="shared" si="3"/>
        <v>1</v>
      </c>
      <c r="AH25" t="s">
        <v>176</v>
      </c>
    </row>
    <row r="26" spans="1:34" x14ac:dyDescent="0.25">
      <c r="A26" t="s">
        <v>42</v>
      </c>
      <c r="B26">
        <v>0</v>
      </c>
      <c r="C26">
        <v>0</v>
      </c>
      <c r="D26">
        <v>2071</v>
      </c>
      <c r="E26">
        <v>2080</v>
      </c>
      <c r="F26">
        <v>46439</v>
      </c>
      <c r="G26">
        <v>51724</v>
      </c>
      <c r="H26">
        <v>51490</v>
      </c>
      <c r="I26">
        <v>46196</v>
      </c>
      <c r="J26">
        <v>0</v>
      </c>
      <c r="K26">
        <v>0</v>
      </c>
      <c r="L26">
        <v>97686</v>
      </c>
      <c r="M26">
        <v>92635</v>
      </c>
      <c r="N26" s="1">
        <v>0.49878222508156794</v>
      </c>
      <c r="O26" s="1">
        <v>0.4729919478782123</v>
      </c>
      <c r="P26" s="1">
        <v>2.0754999999999999E-2</v>
      </c>
      <c r="Q26">
        <v>0.28110139558657204</v>
      </c>
      <c r="R26">
        <v>2.7344437043889571E-126</v>
      </c>
      <c r="S26" t="b">
        <v>1</v>
      </c>
      <c r="T26" t="b">
        <v>0</v>
      </c>
      <c r="V26" s="3"/>
      <c r="X26" s="11">
        <f t="shared" si="0"/>
        <v>200000</v>
      </c>
      <c r="AD26" t="b" cm="1">
        <f t="array" ref="AD26">OR(NOT(ISBLANK(Y26:AB26)))</f>
        <v>0</v>
      </c>
      <c r="AE26" t="b">
        <f t="shared" si="1"/>
        <v>0</v>
      </c>
      <c r="AF26" t="b">
        <f t="shared" si="2"/>
        <v>0</v>
      </c>
      <c r="AG26" t="b">
        <f t="shared" si="3"/>
        <v>0</v>
      </c>
    </row>
    <row r="27" spans="1:34" x14ac:dyDescent="0.25">
      <c r="A27" t="s">
        <v>43</v>
      </c>
      <c r="B27">
        <v>0</v>
      </c>
      <c r="C27">
        <v>0</v>
      </c>
      <c r="D27">
        <v>2693</v>
      </c>
      <c r="E27">
        <v>2571</v>
      </c>
      <c r="F27">
        <v>23634</v>
      </c>
      <c r="G27">
        <v>23610</v>
      </c>
      <c r="H27">
        <v>23673</v>
      </c>
      <c r="I27">
        <v>23819</v>
      </c>
      <c r="J27">
        <v>0</v>
      </c>
      <c r="K27">
        <v>0</v>
      </c>
      <c r="L27">
        <v>47492</v>
      </c>
      <c r="M27">
        <v>47453</v>
      </c>
      <c r="N27" s="1">
        <v>0.50130890052356025</v>
      </c>
      <c r="O27" s="1">
        <v>0.50089723019760179</v>
      </c>
      <c r="P27" s="1">
        <v>5.2639999999999999E-2</v>
      </c>
      <c r="Q27">
        <v>0.42039359918285402</v>
      </c>
      <c r="R27">
        <v>0.58072858163377705</v>
      </c>
      <c r="S27" t="b">
        <v>1</v>
      </c>
      <c r="T27" t="b">
        <v>1</v>
      </c>
      <c r="V27" s="3"/>
      <c r="X27" s="11">
        <f t="shared" si="0"/>
        <v>100000</v>
      </c>
      <c r="AD27" t="b" cm="1">
        <f t="array" ref="AD27">OR(NOT(ISBLANK(Y27:AB27)))</f>
        <v>0</v>
      </c>
      <c r="AE27" t="b">
        <f t="shared" si="1"/>
        <v>0</v>
      </c>
      <c r="AF27" t="b">
        <f t="shared" si="2"/>
        <v>0</v>
      </c>
      <c r="AG27" t="b">
        <f t="shared" si="3"/>
        <v>0</v>
      </c>
    </row>
    <row r="28" spans="1:34" x14ac:dyDescent="0.25">
      <c r="A28" t="s">
        <v>46</v>
      </c>
      <c r="B28">
        <v>0</v>
      </c>
      <c r="C28">
        <v>0</v>
      </c>
      <c r="D28">
        <v>2567</v>
      </c>
      <c r="E28">
        <v>2665</v>
      </c>
      <c r="F28">
        <v>24473</v>
      </c>
      <c r="G28">
        <v>23078</v>
      </c>
      <c r="H28">
        <v>22960</v>
      </c>
      <c r="I28">
        <v>24257</v>
      </c>
      <c r="J28">
        <v>0</v>
      </c>
      <c r="K28">
        <v>0</v>
      </c>
      <c r="L28">
        <v>47217</v>
      </c>
      <c r="M28">
        <v>48730</v>
      </c>
      <c r="N28" s="1">
        <v>0.49823780178963362</v>
      </c>
      <c r="O28" s="1">
        <v>0.51420310653385104</v>
      </c>
      <c r="P28" s="1">
        <v>5.2319999999999998E-2</v>
      </c>
      <c r="Q28">
        <v>0.27793728917981703</v>
      </c>
      <c r="R28">
        <v>2.2363756211764452E-18</v>
      </c>
      <c r="S28" t="b">
        <v>1</v>
      </c>
      <c r="T28" t="b">
        <v>0</v>
      </c>
      <c r="V28" s="3"/>
      <c r="X28" s="11">
        <f t="shared" si="0"/>
        <v>100000</v>
      </c>
      <c r="AD28" t="b" cm="1">
        <f t="array" ref="AD28">OR(NOT(ISBLANK(Y28:AB28)))</f>
        <v>0</v>
      </c>
      <c r="AE28" t="b">
        <f t="shared" si="1"/>
        <v>0</v>
      </c>
      <c r="AF28" t="b">
        <f t="shared" si="2"/>
        <v>0</v>
      </c>
      <c r="AG28" t="b">
        <f t="shared" si="3"/>
        <v>0</v>
      </c>
    </row>
    <row r="29" spans="1:34" x14ac:dyDescent="0.25">
      <c r="A29" t="s">
        <v>47</v>
      </c>
      <c r="B29">
        <v>0</v>
      </c>
      <c r="C29">
        <v>0</v>
      </c>
      <c r="D29">
        <v>756</v>
      </c>
      <c r="E29">
        <v>751</v>
      </c>
      <c r="F29">
        <v>24784</v>
      </c>
      <c r="G29">
        <v>24499</v>
      </c>
      <c r="H29">
        <v>24460</v>
      </c>
      <c r="I29">
        <v>24750</v>
      </c>
      <c r="J29">
        <v>0</v>
      </c>
      <c r="K29">
        <v>0</v>
      </c>
      <c r="L29">
        <v>49210</v>
      </c>
      <c r="M29">
        <v>49534</v>
      </c>
      <c r="N29" s="1">
        <v>0.49962941528839611</v>
      </c>
      <c r="O29" s="1">
        <v>0.50291898916674282</v>
      </c>
      <c r="P29" s="1">
        <v>1.507E-2</v>
      </c>
      <c r="Q29">
        <v>0.81606767383160317</v>
      </c>
      <c r="R29">
        <v>6.6926477679746077E-2</v>
      </c>
      <c r="S29" t="b">
        <v>1</v>
      </c>
      <c r="T29" t="b">
        <v>1</v>
      </c>
      <c r="V29" s="3"/>
      <c r="X29" s="11">
        <f t="shared" si="0"/>
        <v>100000</v>
      </c>
      <c r="AD29" t="b" cm="1">
        <f t="array" ref="AD29">OR(NOT(ISBLANK(Y29:AB29)))</f>
        <v>0</v>
      </c>
      <c r="AE29" t="b">
        <f t="shared" si="1"/>
        <v>0</v>
      </c>
      <c r="AF29" t="b">
        <f t="shared" si="2"/>
        <v>0</v>
      </c>
      <c r="AG29" t="b">
        <f t="shared" si="3"/>
        <v>1</v>
      </c>
    </row>
    <row r="30" spans="1:34" x14ac:dyDescent="0.25">
      <c r="A30" t="s">
        <v>48</v>
      </c>
      <c r="B30">
        <v>0</v>
      </c>
      <c r="C30">
        <v>0</v>
      </c>
      <c r="D30">
        <v>1973</v>
      </c>
      <c r="E30">
        <v>1921</v>
      </c>
      <c r="F30">
        <v>24279</v>
      </c>
      <c r="G30">
        <v>23642</v>
      </c>
      <c r="H30">
        <v>23748</v>
      </c>
      <c r="I30">
        <v>24437</v>
      </c>
      <c r="J30">
        <v>0</v>
      </c>
      <c r="K30">
        <v>0</v>
      </c>
      <c r="L30">
        <v>48185</v>
      </c>
      <c r="M30">
        <v>48716</v>
      </c>
      <c r="N30" s="1">
        <v>0.50137348344536237</v>
      </c>
      <c r="O30" s="1">
        <v>0.50689863275966118</v>
      </c>
      <c r="P30" s="1">
        <v>3.8940000000000002E-2</v>
      </c>
      <c r="Q30">
        <v>0.39444373538491634</v>
      </c>
      <c r="R30">
        <v>1.891858241771692E-5</v>
      </c>
      <c r="S30" t="b">
        <v>1</v>
      </c>
      <c r="T30" t="b">
        <v>0</v>
      </c>
      <c r="V30" s="3"/>
      <c r="X30" s="11">
        <f t="shared" si="0"/>
        <v>100000</v>
      </c>
      <c r="AD30" t="b" cm="1">
        <f t="array" ref="AD30">OR(NOT(ISBLANK(Y30:AB30)))</f>
        <v>0</v>
      </c>
      <c r="AE30" t="b">
        <f t="shared" si="1"/>
        <v>0</v>
      </c>
      <c r="AF30" t="b">
        <f t="shared" si="2"/>
        <v>0</v>
      </c>
      <c r="AG30" t="b">
        <f t="shared" si="3"/>
        <v>0</v>
      </c>
    </row>
    <row r="31" spans="1:34" x14ac:dyDescent="0.25">
      <c r="A31" t="s">
        <v>49</v>
      </c>
      <c r="B31">
        <v>0</v>
      </c>
      <c r="C31">
        <v>0</v>
      </c>
      <c r="D31">
        <v>3670</v>
      </c>
      <c r="E31">
        <v>3669</v>
      </c>
      <c r="F31">
        <v>23461</v>
      </c>
      <c r="G31">
        <v>23031</v>
      </c>
      <c r="H31">
        <v>22869</v>
      </c>
      <c r="I31">
        <v>23300</v>
      </c>
      <c r="J31">
        <v>0</v>
      </c>
      <c r="K31">
        <v>0</v>
      </c>
      <c r="L31">
        <v>46169</v>
      </c>
      <c r="M31">
        <v>46761</v>
      </c>
      <c r="N31" s="1">
        <v>0.49825708766363408</v>
      </c>
      <c r="O31" s="1">
        <v>0.50464596755916724</v>
      </c>
      <c r="P31" s="1">
        <v>7.3389999999999997E-2</v>
      </c>
      <c r="Q31">
        <v>0.2886469932417598</v>
      </c>
      <c r="R31">
        <v>4.6768150387187729E-3</v>
      </c>
      <c r="S31" t="b">
        <v>1</v>
      </c>
      <c r="T31" t="b">
        <v>0</v>
      </c>
      <c r="V31" s="3"/>
      <c r="X31" s="11">
        <f t="shared" si="0"/>
        <v>100000</v>
      </c>
      <c r="AD31" t="b" cm="1">
        <f t="array" ref="AD31">OR(NOT(ISBLANK(Y31:AB31)))</f>
        <v>0</v>
      </c>
      <c r="AE31" t="b">
        <f t="shared" si="1"/>
        <v>0</v>
      </c>
      <c r="AF31" t="b">
        <f t="shared" si="2"/>
        <v>0</v>
      </c>
      <c r="AG31" t="b">
        <f t="shared" si="3"/>
        <v>1</v>
      </c>
    </row>
    <row r="32" spans="1:34" x14ac:dyDescent="0.25">
      <c r="A32" t="s">
        <v>50</v>
      </c>
      <c r="B32">
        <v>0</v>
      </c>
      <c r="C32">
        <v>0</v>
      </c>
      <c r="D32">
        <v>1879</v>
      </c>
      <c r="E32">
        <v>1972</v>
      </c>
      <c r="F32">
        <v>24427</v>
      </c>
      <c r="G32">
        <v>23842</v>
      </c>
      <c r="H32">
        <v>23694</v>
      </c>
      <c r="I32">
        <v>24186</v>
      </c>
      <c r="J32">
        <v>0</v>
      </c>
      <c r="K32">
        <v>0</v>
      </c>
      <c r="L32">
        <v>47880</v>
      </c>
      <c r="M32">
        <v>48613</v>
      </c>
      <c r="N32" s="1">
        <v>0.49797709804574153</v>
      </c>
      <c r="O32" s="1">
        <v>0.50560068227438659</v>
      </c>
      <c r="P32" s="1">
        <v>3.8510000000000003E-2</v>
      </c>
      <c r="Q32">
        <v>0.20965345324828891</v>
      </c>
      <c r="R32">
        <v>5.1408471667458138E-4</v>
      </c>
      <c r="S32" t="b">
        <v>1</v>
      </c>
      <c r="T32" t="b">
        <v>0</v>
      </c>
      <c r="V32" s="3"/>
      <c r="X32" s="11">
        <f t="shared" si="0"/>
        <v>100000</v>
      </c>
      <c r="AD32" t="b" cm="1">
        <f t="array" ref="AD32">OR(NOT(ISBLANK(Y32:AB32)))</f>
        <v>0</v>
      </c>
      <c r="AE32" t="b">
        <f t="shared" si="1"/>
        <v>0</v>
      </c>
      <c r="AF32" t="b">
        <f t="shared" si="2"/>
        <v>0</v>
      </c>
      <c r="AG32" t="b">
        <f t="shared" si="3"/>
        <v>0</v>
      </c>
    </row>
    <row r="33" spans="1:34" x14ac:dyDescent="0.25">
      <c r="A33" t="s">
        <v>44</v>
      </c>
      <c r="B33">
        <v>0</v>
      </c>
      <c r="C33">
        <v>0</v>
      </c>
      <c r="D33">
        <v>2741</v>
      </c>
      <c r="E33">
        <v>2712</v>
      </c>
      <c r="F33">
        <v>23863</v>
      </c>
      <c r="G33">
        <v>23400</v>
      </c>
      <c r="H33">
        <v>23396</v>
      </c>
      <c r="I33">
        <v>23888</v>
      </c>
      <c r="J33">
        <v>0</v>
      </c>
      <c r="L33">
        <v>47284</v>
      </c>
      <c r="M33">
        <v>47751</v>
      </c>
      <c r="N33" s="1">
        <v>0.50011105587697124</v>
      </c>
      <c r="O33" s="1">
        <v>0.50505039821464459</v>
      </c>
      <c r="P33" s="1">
        <v>5.4530000000000002E-2</v>
      </c>
      <c r="Q33">
        <v>0.94554998948721025</v>
      </c>
      <c r="R33">
        <v>1.8973744178600583E-3</v>
      </c>
      <c r="S33" t="b">
        <v>1</v>
      </c>
      <c r="T33" t="b">
        <v>0</v>
      </c>
      <c r="V33" s="3"/>
      <c r="X33" s="11">
        <f t="shared" si="0"/>
        <v>100000</v>
      </c>
      <c r="AD33" t="b" cm="1">
        <f t="array" ref="AD33">OR(NOT(ISBLANK(Y33:AB33)))</f>
        <v>0</v>
      </c>
      <c r="AE33" t="b">
        <f t="shared" si="1"/>
        <v>0</v>
      </c>
      <c r="AF33" t="b">
        <f t="shared" si="2"/>
        <v>0</v>
      </c>
      <c r="AG33" t="b">
        <f t="shared" si="3"/>
        <v>1</v>
      </c>
    </row>
    <row r="34" spans="1:34" x14ac:dyDescent="0.25">
      <c r="A34" t="s">
        <v>45</v>
      </c>
      <c r="B34">
        <v>2546</v>
      </c>
      <c r="C34">
        <v>0</v>
      </c>
      <c r="D34">
        <v>5187</v>
      </c>
      <c r="E34">
        <v>5139</v>
      </c>
      <c r="F34">
        <v>45733</v>
      </c>
      <c r="G34">
        <v>47463</v>
      </c>
      <c r="H34">
        <v>47780</v>
      </c>
      <c r="I34">
        <v>46152</v>
      </c>
      <c r="J34">
        <v>2546</v>
      </c>
      <c r="K34">
        <v>0</v>
      </c>
      <c r="L34">
        <v>93932</v>
      </c>
      <c r="M34">
        <v>91885</v>
      </c>
      <c r="N34" s="1">
        <v>0.50196656833824971</v>
      </c>
      <c r="O34" s="1">
        <v>0.49102753195673549</v>
      </c>
      <c r="P34" s="1">
        <v>5.1630000000000002E-2</v>
      </c>
      <c r="Q34">
        <v>8.8866432569111975E-2</v>
      </c>
      <c r="R34">
        <v>8.3157684950246883E-15</v>
      </c>
      <c r="S34" t="b">
        <v>1</v>
      </c>
      <c r="T34" t="b">
        <v>0</v>
      </c>
      <c r="V34" s="3"/>
      <c r="X34" s="11">
        <f t="shared" ref="X34:X65" si="4">SUM(B34:I34)</f>
        <v>200000</v>
      </c>
      <c r="AD34" t="b" cm="1">
        <f t="array" ref="AD34">OR(NOT(ISBLANK(Y34:AB34)))</f>
        <v>0</v>
      </c>
      <c r="AE34" t="b">
        <f t="shared" ref="AE34:AE65" si="5">OR(NOT(S34),AND(Q34&gt;0.05, Q34&lt;0.15), P34&gt;0.1,O34&gt;0.6, O34&lt;0.4,L34&lt;8000,(C34/X34)&gt;0.05, (B34/X34)&gt;0.05)</f>
        <v>1</v>
      </c>
      <c r="AF34" t="b">
        <f t="shared" ref="AF34:AF65" si="6">OR(NOT(S34), AND(Q34&gt;0.05, Q34&lt;0.15), L34&lt;8000,(C34/X34)&gt;0.05, (B34/X34)&gt;0.05)</f>
        <v>1</v>
      </c>
      <c r="AG34" t="b">
        <f t="shared" ref="AG34:AG65" si="7">OR(AND(Q34&lt;=0.15, Q34&gt;0.001), AND(R34&lt;=0.15, R34&gt;0.001))</f>
        <v>1</v>
      </c>
    </row>
    <row r="35" spans="1:34" x14ac:dyDescent="0.25">
      <c r="A35" s="14" t="s">
        <v>51</v>
      </c>
      <c r="B35">
        <v>0</v>
      </c>
      <c r="C35">
        <v>0</v>
      </c>
      <c r="D35">
        <v>2293</v>
      </c>
      <c r="E35">
        <v>2232</v>
      </c>
      <c r="F35">
        <v>23033</v>
      </c>
      <c r="G35">
        <v>24082</v>
      </c>
      <c r="H35">
        <v>24674</v>
      </c>
      <c r="I35">
        <v>23686</v>
      </c>
      <c r="K35">
        <v>0</v>
      </c>
      <c r="L35">
        <v>48360</v>
      </c>
      <c r="M35">
        <v>46719</v>
      </c>
      <c r="N35" s="1">
        <v>0.50652003142183821</v>
      </c>
      <c r="O35" s="1">
        <v>0.48933228593872741</v>
      </c>
      <c r="P35" s="1">
        <v>4.5249999999999999E-2</v>
      </c>
      <c r="Q35">
        <v>5.5954417347355195E-5</v>
      </c>
      <c r="R35">
        <v>4.3265563304719134E-11</v>
      </c>
      <c r="S35" t="b">
        <v>0</v>
      </c>
      <c r="T35" t="b">
        <v>0</v>
      </c>
      <c r="V35" s="3"/>
      <c r="X35" s="11">
        <f t="shared" si="4"/>
        <v>100000</v>
      </c>
      <c r="AD35" t="b" cm="1">
        <f t="array" ref="AD35">OR(NOT(ISBLANK(Y35:AB35)))</f>
        <v>0</v>
      </c>
      <c r="AE35" t="b">
        <f t="shared" si="5"/>
        <v>1</v>
      </c>
      <c r="AF35" t="b">
        <f t="shared" si="6"/>
        <v>1</v>
      </c>
      <c r="AG35" t="b">
        <f t="shared" si="7"/>
        <v>0</v>
      </c>
      <c r="AH35" t="s">
        <v>167</v>
      </c>
    </row>
    <row r="36" spans="1:34" x14ac:dyDescent="0.25">
      <c r="A36" t="s">
        <v>52</v>
      </c>
      <c r="B36">
        <v>0</v>
      </c>
      <c r="C36">
        <v>1795</v>
      </c>
      <c r="D36">
        <v>0</v>
      </c>
      <c r="E36">
        <v>0</v>
      </c>
      <c r="F36">
        <v>25496</v>
      </c>
      <c r="G36">
        <v>23563</v>
      </c>
      <c r="H36">
        <v>23624</v>
      </c>
      <c r="I36">
        <v>25522</v>
      </c>
      <c r="J36">
        <v>1795</v>
      </c>
      <c r="K36">
        <v>6</v>
      </c>
      <c r="L36">
        <v>49146</v>
      </c>
      <c r="M36">
        <v>51018</v>
      </c>
      <c r="N36" s="1">
        <v>0.50044295096990987</v>
      </c>
      <c r="O36" s="1">
        <v>0.51950511684741107</v>
      </c>
      <c r="P36" s="1">
        <v>0</v>
      </c>
      <c r="Q36">
        <v>0.78130324201785684</v>
      </c>
      <c r="R36">
        <v>2.288602456484375E-34</v>
      </c>
      <c r="S36" t="b">
        <v>1</v>
      </c>
      <c r="T36" t="b">
        <v>0</v>
      </c>
      <c r="V36" s="3"/>
      <c r="X36" s="11">
        <f t="shared" si="4"/>
        <v>100000</v>
      </c>
      <c r="AD36" t="b" cm="1">
        <f t="array" ref="AD36">OR(NOT(ISBLANK(Y36:AB36)))</f>
        <v>0</v>
      </c>
      <c r="AE36" t="b">
        <f t="shared" si="5"/>
        <v>0</v>
      </c>
      <c r="AF36" t="b">
        <f t="shared" si="6"/>
        <v>0</v>
      </c>
      <c r="AG36" t="b">
        <f t="shared" si="7"/>
        <v>0</v>
      </c>
    </row>
    <row r="37" spans="1:34" x14ac:dyDescent="0.25">
      <c r="A37" t="s">
        <v>53</v>
      </c>
      <c r="B37">
        <v>221</v>
      </c>
      <c r="C37">
        <v>0</v>
      </c>
      <c r="D37">
        <v>103</v>
      </c>
      <c r="E37">
        <v>100</v>
      </c>
      <c r="F37">
        <v>24778</v>
      </c>
      <c r="G37">
        <v>24934</v>
      </c>
      <c r="H37">
        <v>25006</v>
      </c>
      <c r="I37">
        <v>24858</v>
      </c>
      <c r="J37">
        <v>85</v>
      </c>
      <c r="K37">
        <v>89</v>
      </c>
      <c r="L37">
        <v>49864</v>
      </c>
      <c r="M37">
        <v>49636</v>
      </c>
      <c r="N37" s="1">
        <v>0.5007632361211537</v>
      </c>
      <c r="O37" s="1">
        <v>0.4984735277576926</v>
      </c>
      <c r="P37" s="1">
        <v>2.0300000000000001E-3</v>
      </c>
      <c r="Q37">
        <v>0.6300272689406281</v>
      </c>
      <c r="R37">
        <v>0.33535839574840282</v>
      </c>
      <c r="S37" t="b">
        <v>1</v>
      </c>
      <c r="T37" t="b">
        <v>1</v>
      </c>
      <c r="V37" s="3"/>
      <c r="X37" s="11">
        <f t="shared" si="4"/>
        <v>100000</v>
      </c>
      <c r="AD37" t="b" cm="1">
        <f t="array" ref="AD37">OR(NOT(ISBLANK(Y37:AB37)))</f>
        <v>0</v>
      </c>
      <c r="AE37" t="b">
        <f t="shared" si="5"/>
        <v>0</v>
      </c>
      <c r="AF37" t="b">
        <f t="shared" si="6"/>
        <v>0</v>
      </c>
      <c r="AG37" t="b">
        <f t="shared" si="7"/>
        <v>0</v>
      </c>
    </row>
    <row r="38" spans="1:34" x14ac:dyDescent="0.25">
      <c r="A38" t="s">
        <v>54</v>
      </c>
      <c r="B38">
        <v>0</v>
      </c>
      <c r="C38">
        <v>0</v>
      </c>
      <c r="D38">
        <v>0</v>
      </c>
      <c r="E38">
        <v>0</v>
      </c>
      <c r="F38">
        <v>72059</v>
      </c>
      <c r="G38">
        <v>78116</v>
      </c>
      <c r="H38">
        <v>77941</v>
      </c>
      <c r="I38">
        <v>71884</v>
      </c>
      <c r="J38">
        <v>0</v>
      </c>
      <c r="K38">
        <v>0</v>
      </c>
      <c r="L38">
        <v>149825</v>
      </c>
      <c r="M38">
        <v>143943</v>
      </c>
      <c r="N38" s="1">
        <v>0.49941666666666601</v>
      </c>
      <c r="O38" s="1">
        <v>0.47981000000000001</v>
      </c>
      <c r="P38" s="1">
        <v>0</v>
      </c>
      <c r="Q38">
        <v>0.52281665391908805</v>
      </c>
      <c r="R38">
        <v>2.1670277259777199E-108</v>
      </c>
      <c r="S38" t="b">
        <v>1</v>
      </c>
      <c r="T38" t="b">
        <v>0</v>
      </c>
      <c r="V38" s="3"/>
      <c r="X38" s="11">
        <f t="shared" si="4"/>
        <v>300000</v>
      </c>
      <c r="AD38" t="b" cm="1">
        <f t="array" ref="AD38">OR(NOT(ISBLANK(Y38:AB38)))</f>
        <v>0</v>
      </c>
      <c r="AE38" t="b">
        <f t="shared" si="5"/>
        <v>0</v>
      </c>
      <c r="AF38" t="b">
        <f t="shared" si="6"/>
        <v>0</v>
      </c>
      <c r="AG38" t="b">
        <f t="shared" si="7"/>
        <v>0</v>
      </c>
      <c r="AH38" t="s">
        <v>180</v>
      </c>
    </row>
    <row r="39" spans="1:34" x14ac:dyDescent="0.25">
      <c r="A39" t="s">
        <v>55</v>
      </c>
      <c r="B39">
        <v>0</v>
      </c>
      <c r="C39">
        <v>0</v>
      </c>
      <c r="D39">
        <v>0</v>
      </c>
      <c r="E39">
        <v>0</v>
      </c>
      <c r="F39">
        <v>24915</v>
      </c>
      <c r="G39">
        <v>25029</v>
      </c>
      <c r="H39">
        <v>25085</v>
      </c>
      <c r="I39">
        <v>24971</v>
      </c>
      <c r="J39">
        <v>0</v>
      </c>
      <c r="K39">
        <v>0</v>
      </c>
      <c r="L39">
        <v>50056</v>
      </c>
      <c r="M39">
        <v>49886</v>
      </c>
      <c r="N39" s="1">
        <v>0.50056</v>
      </c>
      <c r="O39" s="1">
        <v>0.49886000000000003</v>
      </c>
      <c r="P39" s="1">
        <v>0</v>
      </c>
      <c r="Q39">
        <v>0.72320766457237184</v>
      </c>
      <c r="R39">
        <v>0.47090994141079945</v>
      </c>
      <c r="S39" t="b">
        <v>1</v>
      </c>
      <c r="T39" t="b">
        <v>1</v>
      </c>
      <c r="V39" s="3"/>
      <c r="X39" s="11">
        <f t="shared" si="4"/>
        <v>100000</v>
      </c>
      <c r="AD39" t="b" cm="1">
        <f t="array" ref="AD39">OR(NOT(ISBLANK(Y39:AB39)))</f>
        <v>0</v>
      </c>
      <c r="AE39" t="b">
        <f t="shared" si="5"/>
        <v>0</v>
      </c>
      <c r="AF39" t="b">
        <f t="shared" si="6"/>
        <v>0</v>
      </c>
      <c r="AG39" t="b">
        <f t="shared" si="7"/>
        <v>0</v>
      </c>
    </row>
    <row r="40" spans="1:34" x14ac:dyDescent="0.25">
      <c r="A40" t="s">
        <v>56</v>
      </c>
      <c r="B40">
        <v>14952</v>
      </c>
      <c r="C40">
        <v>0</v>
      </c>
      <c r="D40">
        <v>3302</v>
      </c>
      <c r="E40">
        <v>3448</v>
      </c>
      <c r="F40">
        <v>57326</v>
      </c>
      <c r="G40">
        <v>81462</v>
      </c>
      <c r="H40">
        <v>81890</v>
      </c>
      <c r="I40">
        <v>57620</v>
      </c>
      <c r="J40">
        <v>14952</v>
      </c>
      <c r="K40">
        <v>0</v>
      </c>
      <c r="L40">
        <v>139510</v>
      </c>
      <c r="M40">
        <v>114946</v>
      </c>
      <c r="N40" s="1">
        <v>0.5012971706587902</v>
      </c>
      <c r="O40" s="1">
        <v>0.413032073532688</v>
      </c>
      <c r="P40" s="1">
        <v>2.2499999999999999E-2</v>
      </c>
      <c r="Q40">
        <v>0.17111880569017188</v>
      </c>
      <c r="R40">
        <v>0</v>
      </c>
      <c r="S40" t="b">
        <v>1</v>
      </c>
      <c r="T40" t="b">
        <v>0</v>
      </c>
      <c r="V40" s="3"/>
      <c r="X40" s="11">
        <f t="shared" si="4"/>
        <v>300000</v>
      </c>
      <c r="AD40" t="b" cm="1">
        <f t="array" ref="AD40">OR(NOT(ISBLANK(Y40:AB40)))</f>
        <v>0</v>
      </c>
      <c r="AE40" t="b">
        <f t="shared" si="5"/>
        <v>0</v>
      </c>
      <c r="AF40" t="b">
        <f t="shared" si="6"/>
        <v>0</v>
      </c>
      <c r="AG40" t="b">
        <f t="shared" si="7"/>
        <v>0</v>
      </c>
    </row>
    <row r="41" spans="1:34" x14ac:dyDescent="0.25">
      <c r="A41" t="s">
        <v>57</v>
      </c>
      <c r="B41">
        <v>20</v>
      </c>
      <c r="C41">
        <v>0</v>
      </c>
      <c r="D41">
        <v>5907</v>
      </c>
      <c r="E41">
        <v>5693</v>
      </c>
      <c r="F41">
        <v>41003</v>
      </c>
      <c r="G41">
        <v>53032</v>
      </c>
      <c r="H41">
        <v>53081</v>
      </c>
      <c r="I41">
        <v>41264</v>
      </c>
      <c r="J41">
        <v>20</v>
      </c>
      <c r="K41">
        <v>1</v>
      </c>
      <c r="L41">
        <v>94345</v>
      </c>
      <c r="M41">
        <v>82267</v>
      </c>
      <c r="N41" s="1">
        <v>0.50082280496868037</v>
      </c>
      <c r="O41" s="1">
        <v>0.43670771844144812</v>
      </c>
      <c r="P41" s="1">
        <v>5.8000000000000003E-2</v>
      </c>
      <c r="Q41">
        <v>0.47507865536425936</v>
      </c>
      <c r="R41">
        <v>0</v>
      </c>
      <c r="S41" t="b">
        <v>1</v>
      </c>
      <c r="T41" t="b">
        <v>0</v>
      </c>
      <c r="V41" s="3"/>
      <c r="X41" s="11">
        <f t="shared" si="4"/>
        <v>200000</v>
      </c>
      <c r="AD41" t="b" cm="1">
        <f t="array" ref="AD41">OR(NOT(ISBLANK(Y41:AB41)))</f>
        <v>0</v>
      </c>
      <c r="AE41" t="b">
        <f t="shared" si="5"/>
        <v>0</v>
      </c>
      <c r="AF41" t="b">
        <f t="shared" si="6"/>
        <v>0</v>
      </c>
      <c r="AG41" t="b">
        <f t="shared" si="7"/>
        <v>0</v>
      </c>
    </row>
    <row r="42" spans="1:34" x14ac:dyDescent="0.25">
      <c r="A42" t="s">
        <v>58</v>
      </c>
      <c r="B42">
        <v>2</v>
      </c>
      <c r="C42">
        <v>0</v>
      </c>
      <c r="D42">
        <v>4</v>
      </c>
      <c r="E42">
        <v>7</v>
      </c>
      <c r="F42">
        <v>24966</v>
      </c>
      <c r="G42">
        <v>25124</v>
      </c>
      <c r="H42">
        <v>25030</v>
      </c>
      <c r="I42">
        <v>24867</v>
      </c>
      <c r="J42">
        <v>2</v>
      </c>
      <c r="K42">
        <v>6</v>
      </c>
      <c r="L42">
        <v>49897</v>
      </c>
      <c r="M42">
        <v>49833</v>
      </c>
      <c r="N42" s="1">
        <v>0.49903487453368939</v>
      </c>
      <c r="O42" s="1">
        <v>0.49839479132287196</v>
      </c>
      <c r="P42" s="1">
        <v>1.1E-4</v>
      </c>
      <c r="Q42">
        <v>0.54162384725152724</v>
      </c>
      <c r="R42">
        <v>0.31003093884166638</v>
      </c>
      <c r="S42" t="b">
        <v>1</v>
      </c>
      <c r="T42" t="b">
        <v>1</v>
      </c>
      <c r="V42" s="3"/>
      <c r="X42" s="11">
        <f t="shared" si="4"/>
        <v>100000</v>
      </c>
      <c r="AD42" t="b" cm="1">
        <f t="array" ref="AD42">OR(NOT(ISBLANK(Y42:AB42)))</f>
        <v>0</v>
      </c>
      <c r="AE42" t="b">
        <f t="shared" si="5"/>
        <v>0</v>
      </c>
      <c r="AF42" t="b">
        <f t="shared" si="6"/>
        <v>0</v>
      </c>
      <c r="AG42" t="b">
        <f t="shared" si="7"/>
        <v>0</v>
      </c>
    </row>
    <row r="43" spans="1:34" x14ac:dyDescent="0.25">
      <c r="A43" t="s">
        <v>59</v>
      </c>
      <c r="B43">
        <v>0</v>
      </c>
      <c r="C43">
        <v>0</v>
      </c>
      <c r="D43">
        <v>2482</v>
      </c>
      <c r="E43">
        <v>2444</v>
      </c>
      <c r="F43">
        <v>22958</v>
      </c>
      <c r="G43">
        <v>24467</v>
      </c>
      <c r="H43">
        <v>24560</v>
      </c>
      <c r="I43">
        <v>23089</v>
      </c>
      <c r="J43">
        <v>0</v>
      </c>
      <c r="K43">
        <v>174</v>
      </c>
      <c r="L43">
        <v>47649</v>
      </c>
      <c r="M43">
        <v>46047</v>
      </c>
      <c r="N43" s="1">
        <v>0.50117802974525105</v>
      </c>
      <c r="O43" s="1">
        <v>0.4843279971390706</v>
      </c>
      <c r="P43" s="1">
        <v>4.9259999999999998E-2</v>
      </c>
      <c r="Q43">
        <v>0.46755125523792179</v>
      </c>
      <c r="R43">
        <v>4.2614326954292274E-22</v>
      </c>
      <c r="S43" t="b">
        <v>1</v>
      </c>
      <c r="T43" t="b">
        <v>0</v>
      </c>
      <c r="V43" s="3"/>
      <c r="X43" s="11">
        <f t="shared" si="4"/>
        <v>100000</v>
      </c>
      <c r="AD43" t="b" cm="1">
        <f t="array" ref="AD43">OR(NOT(ISBLANK(Y43:AB43)))</f>
        <v>0</v>
      </c>
      <c r="AE43" t="b">
        <f t="shared" si="5"/>
        <v>0</v>
      </c>
      <c r="AF43" t="b">
        <f t="shared" si="6"/>
        <v>0</v>
      </c>
      <c r="AG43" t="b">
        <f t="shared" si="7"/>
        <v>0</v>
      </c>
    </row>
    <row r="44" spans="1:34" x14ac:dyDescent="0.25">
      <c r="A44" t="s">
        <v>60</v>
      </c>
      <c r="B44">
        <v>0</v>
      </c>
      <c r="C44">
        <v>0</v>
      </c>
      <c r="D44">
        <v>2272</v>
      </c>
      <c r="E44">
        <v>2229</v>
      </c>
      <c r="F44">
        <v>25626</v>
      </c>
      <c r="G44">
        <v>22317</v>
      </c>
      <c r="H44">
        <v>22102</v>
      </c>
      <c r="I44">
        <v>25454</v>
      </c>
      <c r="J44">
        <v>0</v>
      </c>
      <c r="K44">
        <v>1</v>
      </c>
      <c r="L44">
        <v>47556</v>
      </c>
      <c r="M44">
        <v>51080</v>
      </c>
      <c r="N44" s="1">
        <v>0.49797380077278297</v>
      </c>
      <c r="O44" s="1">
        <v>0.53487471072995529</v>
      </c>
      <c r="P44" s="1">
        <v>4.5010000000000001E-2</v>
      </c>
      <c r="Q44">
        <v>0.21045723680792489</v>
      </c>
      <c r="R44">
        <v>4.7936626028113937E-103</v>
      </c>
      <c r="S44" t="b">
        <v>1</v>
      </c>
      <c r="T44" t="b">
        <v>0</v>
      </c>
      <c r="V44" s="3"/>
      <c r="X44" s="11">
        <f t="shared" si="4"/>
        <v>100000</v>
      </c>
      <c r="AD44" t="b" cm="1">
        <f t="array" ref="AD44">OR(NOT(ISBLANK(Y44:AB44)))</f>
        <v>0</v>
      </c>
      <c r="AE44" t="b">
        <f t="shared" si="5"/>
        <v>0</v>
      </c>
      <c r="AF44" t="b">
        <f t="shared" si="6"/>
        <v>0</v>
      </c>
      <c r="AG44" t="b">
        <f t="shared" si="7"/>
        <v>0</v>
      </c>
    </row>
    <row r="45" spans="1:34" x14ac:dyDescent="0.25">
      <c r="A45" t="s">
        <v>61</v>
      </c>
      <c r="B45">
        <v>0</v>
      </c>
      <c r="C45">
        <v>0</v>
      </c>
      <c r="D45">
        <v>0</v>
      </c>
      <c r="E45">
        <v>0</v>
      </c>
      <c r="F45">
        <v>24940</v>
      </c>
      <c r="G45">
        <v>25063</v>
      </c>
      <c r="H45">
        <v>25060</v>
      </c>
      <c r="I45">
        <v>24937</v>
      </c>
      <c r="J45">
        <v>0</v>
      </c>
      <c r="K45">
        <v>0</v>
      </c>
      <c r="L45">
        <v>49997</v>
      </c>
      <c r="M45">
        <v>49877</v>
      </c>
      <c r="N45" s="1">
        <v>0.49997000000000003</v>
      </c>
      <c r="O45" s="1">
        <v>0.49876999999999999</v>
      </c>
      <c r="P45" s="1">
        <v>0</v>
      </c>
      <c r="Q45">
        <v>0.98486211314653938</v>
      </c>
      <c r="R45">
        <v>0.43661599744396384</v>
      </c>
      <c r="S45" t="b">
        <v>1</v>
      </c>
      <c r="T45" t="b">
        <v>1</v>
      </c>
      <c r="V45" s="3"/>
      <c r="X45" s="11">
        <f t="shared" si="4"/>
        <v>100000</v>
      </c>
      <c r="AD45" t="b" cm="1">
        <f t="array" ref="AD45">OR(NOT(ISBLANK(Y45:AB45)))</f>
        <v>0</v>
      </c>
      <c r="AE45" t="b">
        <f t="shared" si="5"/>
        <v>0</v>
      </c>
      <c r="AF45" t="b">
        <f t="shared" si="6"/>
        <v>0</v>
      </c>
      <c r="AG45" t="b">
        <f t="shared" si="7"/>
        <v>0</v>
      </c>
    </row>
    <row r="46" spans="1:34" x14ac:dyDescent="0.25">
      <c r="A46" t="s">
        <v>62</v>
      </c>
      <c r="B46">
        <v>0</v>
      </c>
      <c r="C46">
        <v>2032</v>
      </c>
      <c r="D46">
        <v>0</v>
      </c>
      <c r="E46">
        <v>0</v>
      </c>
      <c r="F46">
        <v>24218</v>
      </c>
      <c r="G46">
        <v>24632</v>
      </c>
      <c r="H46">
        <v>24727</v>
      </c>
      <c r="I46">
        <v>24391</v>
      </c>
      <c r="J46">
        <v>2032</v>
      </c>
      <c r="K46">
        <v>0</v>
      </c>
      <c r="L46">
        <v>49118</v>
      </c>
      <c r="M46">
        <v>48609</v>
      </c>
      <c r="N46" s="1">
        <v>0.50136779356524575</v>
      </c>
      <c r="O46" s="1">
        <v>0.49617221950024498</v>
      </c>
      <c r="P46" s="1">
        <v>0</v>
      </c>
      <c r="Q46">
        <v>0.39186813736618986</v>
      </c>
      <c r="R46">
        <v>1.6567026312509593E-2</v>
      </c>
      <c r="S46" t="b">
        <v>1</v>
      </c>
      <c r="T46" t="b">
        <v>0</v>
      </c>
      <c r="V46" s="3"/>
      <c r="X46" s="11">
        <f t="shared" si="4"/>
        <v>100000</v>
      </c>
      <c r="AD46" t="b" cm="1">
        <f t="array" ref="AD46">OR(NOT(ISBLANK(Y46:AB46)))</f>
        <v>0</v>
      </c>
      <c r="AE46" t="b">
        <f t="shared" si="5"/>
        <v>0</v>
      </c>
      <c r="AF46" t="b">
        <f t="shared" si="6"/>
        <v>0</v>
      </c>
      <c r="AG46" t="b">
        <f t="shared" si="7"/>
        <v>1</v>
      </c>
    </row>
    <row r="47" spans="1:34" x14ac:dyDescent="0.25">
      <c r="A47" t="s">
        <v>63</v>
      </c>
      <c r="B47">
        <v>0</v>
      </c>
      <c r="C47">
        <v>163</v>
      </c>
      <c r="D47">
        <v>2606</v>
      </c>
      <c r="E47">
        <v>2483</v>
      </c>
      <c r="F47">
        <v>62250</v>
      </c>
      <c r="G47">
        <v>35312</v>
      </c>
      <c r="H47">
        <v>35061</v>
      </c>
      <c r="I47">
        <v>62125</v>
      </c>
      <c r="J47">
        <v>163</v>
      </c>
      <c r="K47">
        <v>0</v>
      </c>
      <c r="L47">
        <v>97186</v>
      </c>
      <c r="M47">
        <v>124375</v>
      </c>
      <c r="N47" s="1">
        <v>0.49903464990654589</v>
      </c>
      <c r="O47" s="1">
        <v>0.63864583975188449</v>
      </c>
      <c r="P47" s="1">
        <v>2.5444999999999999E-2</v>
      </c>
      <c r="Q47">
        <v>0.39420130129732323</v>
      </c>
      <c r="R47">
        <v>0</v>
      </c>
      <c r="S47" t="b">
        <v>1</v>
      </c>
      <c r="T47" t="b">
        <v>0</v>
      </c>
      <c r="V47" s="3"/>
      <c r="X47" s="11">
        <f t="shared" si="4"/>
        <v>200000</v>
      </c>
      <c r="AD47" t="b" cm="1">
        <f t="array" ref="AD47">OR(NOT(ISBLANK(Y47:AB47)))</f>
        <v>0</v>
      </c>
      <c r="AE47" t="b">
        <f t="shared" si="5"/>
        <v>1</v>
      </c>
      <c r="AF47" t="b">
        <f t="shared" si="6"/>
        <v>0</v>
      </c>
      <c r="AG47" t="b">
        <f t="shared" si="7"/>
        <v>0</v>
      </c>
    </row>
    <row r="48" spans="1:34" x14ac:dyDescent="0.25">
      <c r="A48" t="s">
        <v>64</v>
      </c>
      <c r="B48">
        <v>0</v>
      </c>
      <c r="C48">
        <v>0</v>
      </c>
      <c r="D48">
        <v>10158</v>
      </c>
      <c r="E48">
        <v>10296</v>
      </c>
      <c r="F48">
        <v>13958</v>
      </c>
      <c r="G48">
        <v>25887</v>
      </c>
      <c r="H48">
        <v>25884</v>
      </c>
      <c r="I48">
        <v>13817</v>
      </c>
      <c r="J48">
        <v>0</v>
      </c>
      <c r="K48">
        <v>15</v>
      </c>
      <c r="L48">
        <v>39701</v>
      </c>
      <c r="M48">
        <v>27775</v>
      </c>
      <c r="N48" s="1">
        <v>0.49909486334950848</v>
      </c>
      <c r="O48" s="1">
        <v>0.34916903426947932</v>
      </c>
      <c r="P48" s="1">
        <v>0.20454</v>
      </c>
      <c r="Q48">
        <v>0.609653812351036</v>
      </c>
      <c r="R48">
        <v>0</v>
      </c>
      <c r="S48" t="b">
        <v>1</v>
      </c>
      <c r="T48" t="b">
        <v>0</v>
      </c>
      <c r="V48" s="3"/>
      <c r="X48" s="11">
        <f t="shared" si="4"/>
        <v>100000</v>
      </c>
      <c r="AD48" t="b" cm="1">
        <f t="array" ref="AD48">OR(NOT(ISBLANK(Y48:AB48)))</f>
        <v>0</v>
      </c>
      <c r="AE48" t="b">
        <f t="shared" si="5"/>
        <v>1</v>
      </c>
      <c r="AF48" t="b">
        <f t="shared" si="6"/>
        <v>0</v>
      </c>
      <c r="AG48" t="b">
        <f t="shared" si="7"/>
        <v>0</v>
      </c>
    </row>
    <row r="49" spans="1:33" x14ac:dyDescent="0.25">
      <c r="A49" t="s">
        <v>65</v>
      </c>
      <c r="B49">
        <v>0</v>
      </c>
      <c r="C49">
        <v>10</v>
      </c>
      <c r="D49">
        <v>3</v>
      </c>
      <c r="E49">
        <v>6</v>
      </c>
      <c r="F49">
        <v>25262</v>
      </c>
      <c r="G49">
        <v>24648</v>
      </c>
      <c r="H49">
        <v>24729</v>
      </c>
      <c r="I49">
        <v>25342</v>
      </c>
      <c r="J49">
        <v>10</v>
      </c>
      <c r="K49">
        <v>9</v>
      </c>
      <c r="L49">
        <v>50071</v>
      </c>
      <c r="M49">
        <v>50604</v>
      </c>
      <c r="N49" s="1">
        <v>0.50080515297906603</v>
      </c>
      <c r="O49" s="1">
        <v>0.50613616587151555</v>
      </c>
      <c r="P49" s="1">
        <v>9.0000000000000006E-5</v>
      </c>
      <c r="Q49">
        <v>0.61062951081911687</v>
      </c>
      <c r="R49">
        <v>1.0424908074224406E-4</v>
      </c>
      <c r="S49" t="b">
        <v>1</v>
      </c>
      <c r="T49" t="b">
        <v>0</v>
      </c>
      <c r="V49" s="3"/>
      <c r="X49" s="11">
        <f t="shared" si="4"/>
        <v>100000</v>
      </c>
      <c r="AD49" t="b" cm="1">
        <f t="array" ref="AD49">OR(NOT(ISBLANK(Y49:AB49)))</f>
        <v>0</v>
      </c>
      <c r="AE49" t="b">
        <f t="shared" si="5"/>
        <v>0</v>
      </c>
      <c r="AF49" t="b">
        <f t="shared" si="6"/>
        <v>0</v>
      </c>
      <c r="AG49" t="b">
        <f t="shared" si="7"/>
        <v>0</v>
      </c>
    </row>
    <row r="50" spans="1:33" x14ac:dyDescent="0.25">
      <c r="A50" t="s">
        <v>66</v>
      </c>
      <c r="B50">
        <v>0</v>
      </c>
      <c r="C50">
        <v>0</v>
      </c>
      <c r="D50">
        <v>0</v>
      </c>
      <c r="E50">
        <v>0</v>
      </c>
      <c r="F50">
        <v>28450</v>
      </c>
      <c r="G50">
        <v>21652</v>
      </c>
      <c r="H50">
        <v>21550</v>
      </c>
      <c r="I50">
        <v>28348</v>
      </c>
      <c r="J50">
        <v>0</v>
      </c>
      <c r="K50">
        <v>0</v>
      </c>
      <c r="L50">
        <v>49898</v>
      </c>
      <c r="M50">
        <v>56798</v>
      </c>
      <c r="N50" s="1">
        <v>0.49897999999999998</v>
      </c>
      <c r="O50" s="1">
        <v>0.56798000000000004</v>
      </c>
      <c r="P50" s="1">
        <v>0</v>
      </c>
      <c r="Q50">
        <v>0.51885937542701055</v>
      </c>
      <c r="R50">
        <v>0</v>
      </c>
      <c r="S50" t="b">
        <v>1</v>
      </c>
      <c r="T50" t="b">
        <v>0</v>
      </c>
      <c r="V50" s="3"/>
      <c r="X50" s="11">
        <f t="shared" si="4"/>
        <v>100000</v>
      </c>
      <c r="AD50" t="b" cm="1">
        <f t="array" ref="AD50">OR(NOT(ISBLANK(Y50:AB50)))</f>
        <v>0</v>
      </c>
      <c r="AE50" t="b">
        <f t="shared" si="5"/>
        <v>0</v>
      </c>
      <c r="AF50" t="b">
        <f t="shared" si="6"/>
        <v>0</v>
      </c>
      <c r="AG50" t="b">
        <f t="shared" si="7"/>
        <v>0</v>
      </c>
    </row>
    <row r="51" spans="1:33" x14ac:dyDescent="0.25">
      <c r="A51" t="s">
        <v>67</v>
      </c>
      <c r="B51">
        <v>39</v>
      </c>
      <c r="C51">
        <v>0</v>
      </c>
      <c r="D51">
        <v>0</v>
      </c>
      <c r="E51">
        <v>0</v>
      </c>
      <c r="F51">
        <v>25124</v>
      </c>
      <c r="G51">
        <v>24843</v>
      </c>
      <c r="H51">
        <v>24857</v>
      </c>
      <c r="I51">
        <v>25137</v>
      </c>
      <c r="J51">
        <v>39</v>
      </c>
      <c r="K51">
        <v>0</v>
      </c>
      <c r="L51">
        <v>49994</v>
      </c>
      <c r="M51">
        <v>50261</v>
      </c>
      <c r="N51" s="1">
        <v>0.50013505267054148</v>
      </c>
      <c r="O51" s="1">
        <v>0.5028060943768069</v>
      </c>
      <c r="P51" s="1">
        <v>0</v>
      </c>
      <c r="Q51">
        <v>0.93194486301286528</v>
      </c>
      <c r="R51">
        <v>7.5999686663166505E-2</v>
      </c>
      <c r="S51" t="b">
        <v>1</v>
      </c>
      <c r="T51" t="b">
        <v>1</v>
      </c>
      <c r="V51" s="3"/>
      <c r="X51" s="11">
        <f t="shared" si="4"/>
        <v>100000</v>
      </c>
      <c r="AD51" t="b" cm="1">
        <f t="array" ref="AD51">OR(NOT(ISBLANK(Y51:AB51)))</f>
        <v>0</v>
      </c>
      <c r="AE51" t="b">
        <f t="shared" si="5"/>
        <v>0</v>
      </c>
      <c r="AF51" t="b">
        <f t="shared" si="6"/>
        <v>0</v>
      </c>
      <c r="AG51" t="b">
        <f t="shared" si="7"/>
        <v>1</v>
      </c>
    </row>
    <row r="52" spans="1:33" x14ac:dyDescent="0.25">
      <c r="A52" t="s">
        <v>68</v>
      </c>
      <c r="B52">
        <v>22</v>
      </c>
      <c r="C52">
        <v>2258</v>
      </c>
      <c r="D52">
        <v>0</v>
      </c>
      <c r="E52">
        <v>0</v>
      </c>
      <c r="F52">
        <v>24587</v>
      </c>
      <c r="G52">
        <v>24223</v>
      </c>
      <c r="H52">
        <v>24261</v>
      </c>
      <c r="I52">
        <v>24649</v>
      </c>
      <c r="J52">
        <v>2280</v>
      </c>
      <c r="L52">
        <v>48910</v>
      </c>
      <c r="M52">
        <v>49236</v>
      </c>
      <c r="N52" s="1">
        <v>0.50051166598444541</v>
      </c>
      <c r="O52" s="1">
        <v>0.50384772820302903</v>
      </c>
      <c r="P52" s="1">
        <v>0</v>
      </c>
      <c r="Q52">
        <v>0.74904747109147096</v>
      </c>
      <c r="R52">
        <v>1.6145272394565969E-2</v>
      </c>
      <c r="S52" t="b">
        <v>1</v>
      </c>
      <c r="T52" t="b">
        <v>0</v>
      </c>
      <c r="V52" s="3"/>
      <c r="X52" s="11">
        <f t="shared" si="4"/>
        <v>100000</v>
      </c>
      <c r="AD52" t="b" cm="1">
        <f t="array" ref="AD52">OR(NOT(ISBLANK(Y52:AB52)))</f>
        <v>0</v>
      </c>
      <c r="AE52" t="b">
        <f t="shared" si="5"/>
        <v>0</v>
      </c>
      <c r="AF52" t="b">
        <f t="shared" si="6"/>
        <v>0</v>
      </c>
      <c r="AG52" t="b">
        <f t="shared" si="7"/>
        <v>1</v>
      </c>
    </row>
    <row r="53" spans="1:33" x14ac:dyDescent="0.25">
      <c r="A53" t="s">
        <v>69</v>
      </c>
      <c r="B53">
        <v>59</v>
      </c>
      <c r="C53">
        <v>0</v>
      </c>
      <c r="D53">
        <v>5702</v>
      </c>
      <c r="E53">
        <v>5872</v>
      </c>
      <c r="F53">
        <v>21897</v>
      </c>
      <c r="G53">
        <v>22382</v>
      </c>
      <c r="H53">
        <v>22375</v>
      </c>
      <c r="I53">
        <v>21713</v>
      </c>
      <c r="J53">
        <v>59</v>
      </c>
      <c r="L53">
        <v>44088</v>
      </c>
      <c r="M53">
        <v>43610</v>
      </c>
      <c r="N53" s="1">
        <v>0.49891927982165291</v>
      </c>
      <c r="O53" s="1">
        <v>0.49351002070908823</v>
      </c>
      <c r="P53" s="1">
        <v>0.11574</v>
      </c>
      <c r="Q53">
        <v>0.52053401276585454</v>
      </c>
      <c r="R53">
        <v>1.140856578754592E-4</v>
      </c>
      <c r="S53" t="b">
        <v>1</v>
      </c>
      <c r="T53" t="b">
        <v>0</v>
      </c>
      <c r="V53" s="3"/>
      <c r="X53" s="11">
        <f t="shared" si="4"/>
        <v>100000</v>
      </c>
      <c r="AD53" t="b" cm="1">
        <f t="array" ref="AD53">OR(NOT(ISBLANK(Y53:AB53)))</f>
        <v>0</v>
      </c>
      <c r="AE53" t="b">
        <f t="shared" si="5"/>
        <v>1</v>
      </c>
      <c r="AF53" t="b">
        <f t="shared" si="6"/>
        <v>0</v>
      </c>
      <c r="AG53" t="b">
        <f t="shared" si="7"/>
        <v>0</v>
      </c>
    </row>
    <row r="54" spans="1:33" x14ac:dyDescent="0.25">
      <c r="A54" t="s">
        <v>70</v>
      </c>
      <c r="B54">
        <v>0</v>
      </c>
      <c r="C54">
        <v>0</v>
      </c>
      <c r="D54">
        <v>0</v>
      </c>
      <c r="E54">
        <v>0</v>
      </c>
      <c r="F54">
        <v>50171</v>
      </c>
      <c r="G54">
        <v>50030</v>
      </c>
      <c r="H54">
        <v>49829</v>
      </c>
      <c r="I54">
        <v>49970</v>
      </c>
      <c r="J54">
        <v>0</v>
      </c>
      <c r="K54">
        <v>0</v>
      </c>
      <c r="L54">
        <v>99799</v>
      </c>
      <c r="M54">
        <v>100141</v>
      </c>
      <c r="N54" s="1">
        <v>0.49899500000000002</v>
      </c>
      <c r="O54" s="1">
        <v>0.50070499999999996</v>
      </c>
      <c r="P54" s="1">
        <v>0</v>
      </c>
      <c r="Q54">
        <v>0.36870628651703841</v>
      </c>
      <c r="R54">
        <v>0.52832095461935646</v>
      </c>
      <c r="S54" t="b">
        <v>1</v>
      </c>
      <c r="T54" t="b">
        <v>1</v>
      </c>
      <c r="V54" s="3"/>
      <c r="X54" s="11">
        <f t="shared" si="4"/>
        <v>200000</v>
      </c>
      <c r="AD54" t="b" cm="1">
        <f t="array" ref="AD54">OR(NOT(ISBLANK(Y54:AB54)))</f>
        <v>0</v>
      </c>
      <c r="AE54" t="b">
        <f t="shared" si="5"/>
        <v>0</v>
      </c>
      <c r="AF54" t="b">
        <f t="shared" si="6"/>
        <v>0</v>
      </c>
      <c r="AG54" t="b">
        <f t="shared" si="7"/>
        <v>0</v>
      </c>
    </row>
    <row r="55" spans="1:33" x14ac:dyDescent="0.25">
      <c r="A55" t="s">
        <v>71</v>
      </c>
      <c r="B55">
        <v>162</v>
      </c>
      <c r="C55">
        <v>0</v>
      </c>
      <c r="D55">
        <v>0</v>
      </c>
      <c r="E55">
        <v>0</v>
      </c>
      <c r="F55">
        <v>24940</v>
      </c>
      <c r="G55">
        <v>24787</v>
      </c>
      <c r="H55">
        <v>24985</v>
      </c>
      <c r="I55">
        <v>25126</v>
      </c>
      <c r="J55">
        <v>162</v>
      </c>
      <c r="K55">
        <v>0</v>
      </c>
      <c r="L55">
        <v>50111</v>
      </c>
      <c r="M55">
        <v>50066</v>
      </c>
      <c r="N55" s="1">
        <v>0.50192311544702417</v>
      </c>
      <c r="O55" s="1">
        <v>0.50147238526412785</v>
      </c>
      <c r="P55" s="1">
        <v>0</v>
      </c>
      <c r="Q55">
        <v>0.2242519157103264</v>
      </c>
      <c r="R55">
        <v>0.3521310954129615</v>
      </c>
      <c r="S55" t="b">
        <v>1</v>
      </c>
      <c r="T55" t="b">
        <v>1</v>
      </c>
      <c r="V55" s="3"/>
      <c r="X55" s="11">
        <f t="shared" si="4"/>
        <v>100000</v>
      </c>
      <c r="AD55" t="b" cm="1">
        <f t="array" ref="AD55">OR(NOT(ISBLANK(Y55:AB55)))</f>
        <v>0</v>
      </c>
      <c r="AE55" t="b">
        <f t="shared" si="5"/>
        <v>0</v>
      </c>
      <c r="AF55" t="b">
        <f t="shared" si="6"/>
        <v>0</v>
      </c>
      <c r="AG55" t="b">
        <f t="shared" si="7"/>
        <v>0</v>
      </c>
    </row>
    <row r="56" spans="1:33" x14ac:dyDescent="0.25">
      <c r="A56" t="s">
        <v>72</v>
      </c>
      <c r="B56">
        <v>4520</v>
      </c>
      <c r="C56">
        <v>0</v>
      </c>
      <c r="D56">
        <v>4209</v>
      </c>
      <c r="E56">
        <v>4413</v>
      </c>
      <c r="F56">
        <v>32711</v>
      </c>
      <c r="G56">
        <v>30924</v>
      </c>
      <c r="H56">
        <v>30812</v>
      </c>
      <c r="I56">
        <v>32411</v>
      </c>
      <c r="J56">
        <v>4520</v>
      </c>
      <c r="K56">
        <v>0</v>
      </c>
      <c r="L56">
        <v>63223</v>
      </c>
      <c r="M56">
        <v>65122</v>
      </c>
      <c r="N56" s="1">
        <v>0.49837613709817274</v>
      </c>
      <c r="O56" s="1">
        <v>0.51334563054754134</v>
      </c>
      <c r="P56" s="1">
        <v>6.1585714285714285E-2</v>
      </c>
      <c r="Q56">
        <v>0.24737584560727413</v>
      </c>
      <c r="R56">
        <v>1.9687987364014118E-21</v>
      </c>
      <c r="S56" t="b">
        <v>1</v>
      </c>
      <c r="T56" t="b">
        <v>0</v>
      </c>
      <c r="V56" s="3"/>
      <c r="X56" s="11">
        <f t="shared" si="4"/>
        <v>140000</v>
      </c>
      <c r="AD56" t="b" cm="1">
        <f t="array" ref="AD56">OR(NOT(ISBLANK(Y56:AB56)))</f>
        <v>0</v>
      </c>
      <c r="AE56" t="b">
        <f t="shared" si="5"/>
        <v>0</v>
      </c>
      <c r="AF56" t="b">
        <f t="shared" si="6"/>
        <v>0</v>
      </c>
      <c r="AG56" t="b">
        <f t="shared" si="7"/>
        <v>0</v>
      </c>
    </row>
    <row r="57" spans="1:33" x14ac:dyDescent="0.25">
      <c r="A57" t="s">
        <v>73</v>
      </c>
      <c r="B57">
        <v>7</v>
      </c>
      <c r="C57">
        <v>3769</v>
      </c>
      <c r="D57">
        <v>768</v>
      </c>
      <c r="E57">
        <v>765</v>
      </c>
      <c r="F57">
        <v>22239</v>
      </c>
      <c r="G57">
        <v>24916</v>
      </c>
      <c r="H57">
        <v>25155</v>
      </c>
      <c r="I57">
        <v>22381</v>
      </c>
      <c r="J57">
        <v>3776</v>
      </c>
      <c r="K57">
        <v>7683</v>
      </c>
      <c r="L57">
        <v>47536</v>
      </c>
      <c r="M57">
        <v>44620</v>
      </c>
      <c r="N57" s="1">
        <v>0.50201180682430224</v>
      </c>
      <c r="O57" s="1">
        <v>0.47121690551372358</v>
      </c>
      <c r="P57" s="1">
        <v>1.533E-2</v>
      </c>
      <c r="Q57">
        <v>0.21566323510562074</v>
      </c>
      <c r="R57">
        <v>3.2575913151259164E-70</v>
      </c>
      <c r="S57" t="b">
        <v>1</v>
      </c>
      <c r="T57" t="b">
        <v>0</v>
      </c>
      <c r="V57" s="3"/>
      <c r="X57" s="11">
        <f t="shared" si="4"/>
        <v>100000</v>
      </c>
      <c r="AD57" t="b" cm="1">
        <f t="array" ref="AD57">OR(NOT(ISBLANK(Y57:AB57)))</f>
        <v>0</v>
      </c>
      <c r="AE57" t="b">
        <f t="shared" si="5"/>
        <v>0</v>
      </c>
      <c r="AF57" t="b">
        <f t="shared" si="6"/>
        <v>0</v>
      </c>
      <c r="AG57" t="b">
        <f t="shared" si="7"/>
        <v>0</v>
      </c>
    </row>
    <row r="58" spans="1:33" x14ac:dyDescent="0.25">
      <c r="A58" t="s">
        <v>74</v>
      </c>
      <c r="B58">
        <v>0</v>
      </c>
      <c r="C58">
        <v>0</v>
      </c>
      <c r="D58">
        <v>74</v>
      </c>
      <c r="E58">
        <v>71</v>
      </c>
      <c r="F58">
        <v>23712</v>
      </c>
      <c r="G58">
        <v>26365</v>
      </c>
      <c r="H58">
        <v>26214</v>
      </c>
      <c r="I58">
        <v>23564</v>
      </c>
      <c r="J58">
        <v>0</v>
      </c>
      <c r="K58">
        <v>1876</v>
      </c>
      <c r="L58">
        <v>49778</v>
      </c>
      <c r="M58">
        <v>47276</v>
      </c>
      <c r="N58" s="1">
        <v>0.49850282910219818</v>
      </c>
      <c r="O58" s="1">
        <v>0.47344649742126083</v>
      </c>
      <c r="P58" s="1">
        <v>1.4499999999999999E-3</v>
      </c>
      <c r="Q58">
        <v>0.34404287907438524</v>
      </c>
      <c r="R58">
        <v>3.3202322629747998E-63</v>
      </c>
      <c r="S58" t="b">
        <v>1</v>
      </c>
      <c r="T58" t="b">
        <v>0</v>
      </c>
      <c r="V58" s="3"/>
      <c r="X58" s="11">
        <f t="shared" si="4"/>
        <v>100000</v>
      </c>
      <c r="AD58" t="b" cm="1">
        <f t="array" ref="AD58">OR(NOT(ISBLANK(Y58:AB58)))</f>
        <v>0</v>
      </c>
      <c r="AE58" t="b">
        <f t="shared" si="5"/>
        <v>0</v>
      </c>
      <c r="AF58" t="b">
        <f t="shared" si="6"/>
        <v>0</v>
      </c>
      <c r="AG58" t="b">
        <f t="shared" si="7"/>
        <v>0</v>
      </c>
    </row>
    <row r="59" spans="1:33" x14ac:dyDescent="0.25">
      <c r="A59" t="s">
        <v>75</v>
      </c>
      <c r="B59">
        <v>2</v>
      </c>
      <c r="C59">
        <v>0</v>
      </c>
      <c r="D59">
        <v>35</v>
      </c>
      <c r="E59">
        <v>49</v>
      </c>
      <c r="F59">
        <v>26977</v>
      </c>
      <c r="G59">
        <v>22839</v>
      </c>
      <c r="H59">
        <v>22987</v>
      </c>
      <c r="I59">
        <v>27111</v>
      </c>
      <c r="J59">
        <v>2</v>
      </c>
      <c r="K59">
        <v>1926</v>
      </c>
      <c r="L59">
        <v>50098</v>
      </c>
      <c r="M59">
        <v>54088</v>
      </c>
      <c r="N59" s="1">
        <v>0.50141121364373364</v>
      </c>
      <c r="O59" s="1">
        <v>0.5413455571791741</v>
      </c>
      <c r="P59" s="1">
        <v>8.4000000000000003E-4</v>
      </c>
      <c r="Q59">
        <v>0.37231467873706076</v>
      </c>
      <c r="R59">
        <v>1.35003614530825E-150</v>
      </c>
      <c r="S59" t="b">
        <v>1</v>
      </c>
      <c r="T59" t="b">
        <v>0</v>
      </c>
      <c r="V59" s="3"/>
      <c r="X59" s="11">
        <f t="shared" si="4"/>
        <v>100000</v>
      </c>
      <c r="AD59" t="b" cm="1">
        <f t="array" ref="AD59">OR(NOT(ISBLANK(Y59:AB59)))</f>
        <v>0</v>
      </c>
      <c r="AE59" t="b">
        <f t="shared" si="5"/>
        <v>0</v>
      </c>
      <c r="AF59" t="b">
        <f t="shared" si="6"/>
        <v>0</v>
      </c>
      <c r="AG59" t="b">
        <f t="shared" si="7"/>
        <v>0</v>
      </c>
    </row>
    <row r="60" spans="1:33" x14ac:dyDescent="0.25">
      <c r="A60" t="s">
        <v>76</v>
      </c>
      <c r="B60">
        <v>103</v>
      </c>
      <c r="C60">
        <v>0</v>
      </c>
      <c r="D60">
        <v>0</v>
      </c>
      <c r="E60">
        <v>0</v>
      </c>
      <c r="F60">
        <v>25070</v>
      </c>
      <c r="G60">
        <v>24926</v>
      </c>
      <c r="H60">
        <v>24879</v>
      </c>
      <c r="I60">
        <v>25022</v>
      </c>
      <c r="J60">
        <v>103</v>
      </c>
      <c r="K60">
        <v>0</v>
      </c>
      <c r="L60">
        <v>49901</v>
      </c>
      <c r="M60">
        <v>50092</v>
      </c>
      <c r="N60" s="1">
        <v>0.49952451024555294</v>
      </c>
      <c r="O60" s="1">
        <v>0.5014364795739612</v>
      </c>
      <c r="P60" s="1">
        <v>0</v>
      </c>
      <c r="Q60">
        <v>0.76374148655742213</v>
      </c>
      <c r="R60">
        <v>0.3638563223954081</v>
      </c>
      <c r="S60" t="b">
        <v>1</v>
      </c>
      <c r="T60" t="b">
        <v>1</v>
      </c>
      <c r="V60" s="3"/>
      <c r="X60" s="11">
        <f t="shared" si="4"/>
        <v>100000</v>
      </c>
      <c r="AD60" t="b" cm="1">
        <f t="array" ref="AD60">OR(NOT(ISBLANK(Y60:AB60)))</f>
        <v>0</v>
      </c>
      <c r="AE60" t="b">
        <f t="shared" si="5"/>
        <v>0</v>
      </c>
      <c r="AF60" t="b">
        <f t="shared" si="6"/>
        <v>0</v>
      </c>
      <c r="AG60" t="b">
        <f t="shared" si="7"/>
        <v>0</v>
      </c>
    </row>
    <row r="61" spans="1:33" x14ac:dyDescent="0.25">
      <c r="A61" t="s">
        <v>79</v>
      </c>
      <c r="B61">
        <v>81</v>
      </c>
      <c r="C61">
        <v>7067</v>
      </c>
      <c r="D61">
        <v>2203</v>
      </c>
      <c r="E61">
        <v>2212</v>
      </c>
      <c r="F61">
        <v>46891</v>
      </c>
      <c r="G61">
        <v>47021</v>
      </c>
      <c r="H61">
        <v>47353</v>
      </c>
      <c r="I61">
        <v>47172</v>
      </c>
      <c r="J61">
        <v>7148</v>
      </c>
      <c r="K61">
        <v>71377</v>
      </c>
      <c r="L61">
        <v>94525</v>
      </c>
      <c r="M61">
        <v>94063</v>
      </c>
      <c r="N61" s="1">
        <v>0.50162653831253945</v>
      </c>
      <c r="O61" s="1">
        <v>0.49917479051354036</v>
      </c>
      <c r="P61" s="1">
        <v>2.2075000000000001E-2</v>
      </c>
      <c r="Q61">
        <v>0.15790909824437693</v>
      </c>
      <c r="R61">
        <v>0.47372227660086741</v>
      </c>
      <c r="S61" t="b">
        <v>1</v>
      </c>
      <c r="T61" t="b">
        <v>1</v>
      </c>
      <c r="V61" s="3"/>
      <c r="X61" s="11">
        <f t="shared" si="4"/>
        <v>200000</v>
      </c>
      <c r="AD61" t="b" cm="1">
        <f t="array" ref="AD61">OR(NOT(ISBLANK(Y61:AB61)))</f>
        <v>0</v>
      </c>
      <c r="AE61" t="b">
        <f t="shared" si="5"/>
        <v>0</v>
      </c>
      <c r="AF61" t="b">
        <f t="shared" si="6"/>
        <v>0</v>
      </c>
      <c r="AG61" t="b">
        <f t="shared" si="7"/>
        <v>0</v>
      </c>
    </row>
    <row r="62" spans="1:33" x14ac:dyDescent="0.25">
      <c r="A62" t="s">
        <v>77</v>
      </c>
      <c r="B62">
        <v>88</v>
      </c>
      <c r="C62">
        <v>0</v>
      </c>
      <c r="D62">
        <v>2760</v>
      </c>
      <c r="E62">
        <v>2837</v>
      </c>
      <c r="F62">
        <v>23994</v>
      </c>
      <c r="G62">
        <v>23243</v>
      </c>
      <c r="H62">
        <v>23203</v>
      </c>
      <c r="I62">
        <v>23875</v>
      </c>
      <c r="J62">
        <v>88</v>
      </c>
      <c r="K62">
        <v>520</v>
      </c>
      <c r="L62">
        <v>47078</v>
      </c>
      <c r="M62">
        <v>47869</v>
      </c>
      <c r="N62" s="1">
        <v>0.49915707999787945</v>
      </c>
      <c r="O62" s="1">
        <v>0.50754386894979586</v>
      </c>
      <c r="P62" s="1">
        <v>5.5969999999999999E-2</v>
      </c>
      <c r="Q62">
        <v>0.60464382825246388</v>
      </c>
      <c r="R62">
        <v>3.5943562783161151E-6</v>
      </c>
      <c r="S62" t="b">
        <v>1</v>
      </c>
      <c r="T62" t="b">
        <v>0</v>
      </c>
      <c r="V62" s="3"/>
      <c r="X62" s="11">
        <f t="shared" si="4"/>
        <v>100000</v>
      </c>
      <c r="AD62" t="b" cm="1">
        <f t="array" ref="AD62">OR(NOT(ISBLANK(Y62:AB62)))</f>
        <v>0</v>
      </c>
      <c r="AE62" t="b">
        <f t="shared" si="5"/>
        <v>0</v>
      </c>
      <c r="AF62" t="b">
        <f t="shared" si="6"/>
        <v>0</v>
      </c>
      <c r="AG62" t="b">
        <f t="shared" si="7"/>
        <v>0</v>
      </c>
    </row>
    <row r="63" spans="1:33" x14ac:dyDescent="0.25">
      <c r="A63" t="s">
        <v>78</v>
      </c>
      <c r="B63">
        <v>0</v>
      </c>
      <c r="C63">
        <v>0</v>
      </c>
      <c r="D63">
        <v>2452</v>
      </c>
      <c r="E63">
        <v>2452</v>
      </c>
      <c r="F63">
        <v>26139</v>
      </c>
      <c r="G63">
        <v>21401</v>
      </c>
      <c r="H63">
        <v>21409</v>
      </c>
      <c r="I63">
        <v>26147</v>
      </c>
      <c r="J63">
        <v>0</v>
      </c>
      <c r="K63">
        <v>2</v>
      </c>
      <c r="L63">
        <v>47556</v>
      </c>
      <c r="M63">
        <v>52286</v>
      </c>
      <c r="N63" s="1">
        <v>0.50008412551526882</v>
      </c>
      <c r="O63" s="1">
        <v>0.54982333641793557</v>
      </c>
      <c r="P63" s="1">
        <v>4.904E-2</v>
      </c>
      <c r="Q63">
        <v>0.95862060852858011</v>
      </c>
      <c r="R63">
        <v>2.3563982281188996E-207</v>
      </c>
      <c r="S63" t="b">
        <v>1</v>
      </c>
      <c r="T63" t="b">
        <v>0</v>
      </c>
      <c r="V63" s="3"/>
      <c r="X63" s="11">
        <f t="shared" si="4"/>
        <v>100000</v>
      </c>
      <c r="AD63" t="b" cm="1">
        <f t="array" ref="AD63">OR(NOT(ISBLANK(Y63:AB63)))</f>
        <v>0</v>
      </c>
      <c r="AE63" t="b">
        <f t="shared" si="5"/>
        <v>0</v>
      </c>
      <c r="AF63" t="b">
        <f t="shared" si="6"/>
        <v>0</v>
      </c>
      <c r="AG63" t="b">
        <f t="shared" si="7"/>
        <v>0</v>
      </c>
    </row>
    <row r="64" spans="1:33" x14ac:dyDescent="0.25">
      <c r="A64" t="s">
        <v>80</v>
      </c>
      <c r="B64">
        <v>0</v>
      </c>
      <c r="C64">
        <v>0</v>
      </c>
      <c r="D64">
        <v>3176</v>
      </c>
      <c r="E64">
        <v>3165</v>
      </c>
      <c r="F64">
        <v>24222</v>
      </c>
      <c r="G64">
        <v>22610</v>
      </c>
      <c r="H64">
        <v>22602</v>
      </c>
      <c r="I64">
        <v>24225</v>
      </c>
      <c r="J64">
        <v>0</v>
      </c>
      <c r="K64">
        <v>0</v>
      </c>
      <c r="L64">
        <v>46827</v>
      </c>
      <c r="M64">
        <v>48447</v>
      </c>
      <c r="N64" s="1">
        <v>0.4999733074237393</v>
      </c>
      <c r="O64" s="1">
        <v>0.51727009684066672</v>
      </c>
      <c r="P64" s="1">
        <v>6.3409999999999994E-2</v>
      </c>
      <c r="Q64">
        <v>0.98696485137840273</v>
      </c>
      <c r="R64">
        <v>4.0788857700523989E-26</v>
      </c>
      <c r="S64" t="b">
        <v>1</v>
      </c>
      <c r="T64" t="b">
        <v>0</v>
      </c>
      <c r="V64" s="3"/>
      <c r="X64" s="11">
        <f t="shared" si="4"/>
        <v>100000</v>
      </c>
      <c r="AD64" t="b" cm="1">
        <f t="array" ref="AD64">OR(NOT(ISBLANK(Y64:AB64)))</f>
        <v>0</v>
      </c>
      <c r="AE64" t="b">
        <f t="shared" si="5"/>
        <v>0</v>
      </c>
      <c r="AF64" t="b">
        <f t="shared" si="6"/>
        <v>0</v>
      </c>
      <c r="AG64" t="b">
        <f t="shared" si="7"/>
        <v>0</v>
      </c>
    </row>
    <row r="65" spans="1:34" x14ac:dyDescent="0.25">
      <c r="A65" t="s">
        <v>81</v>
      </c>
      <c r="B65">
        <v>5748</v>
      </c>
      <c r="C65">
        <v>6173</v>
      </c>
      <c r="D65">
        <v>3626</v>
      </c>
      <c r="E65">
        <v>3498</v>
      </c>
      <c r="F65">
        <v>44278</v>
      </c>
      <c r="G65">
        <v>46441</v>
      </c>
      <c r="H65">
        <v>46158</v>
      </c>
      <c r="I65">
        <v>44078</v>
      </c>
      <c r="J65">
        <v>11921</v>
      </c>
      <c r="K65">
        <v>0</v>
      </c>
      <c r="L65">
        <v>90236</v>
      </c>
      <c r="M65">
        <v>88356</v>
      </c>
      <c r="N65" s="1">
        <v>0.49866541405321763</v>
      </c>
      <c r="O65" s="1">
        <v>0.48827609074079192</v>
      </c>
      <c r="P65" s="1">
        <v>3.5619999999999999E-2</v>
      </c>
      <c r="Q65">
        <v>0.25619358410322984</v>
      </c>
      <c r="R65">
        <v>1.9724655468604668E-23</v>
      </c>
      <c r="S65" t="b">
        <v>1</v>
      </c>
      <c r="T65" t="b">
        <v>0</v>
      </c>
      <c r="V65" s="3"/>
      <c r="X65" s="11">
        <f t="shared" si="4"/>
        <v>200000</v>
      </c>
      <c r="AD65" t="b" cm="1">
        <f t="array" ref="AD65">OR(NOT(ISBLANK(Y65:AB65)))</f>
        <v>0</v>
      </c>
      <c r="AE65" t="b">
        <f t="shared" si="5"/>
        <v>0</v>
      </c>
      <c r="AF65" t="b">
        <f t="shared" si="6"/>
        <v>0</v>
      </c>
      <c r="AG65" t="b">
        <f t="shared" si="7"/>
        <v>0</v>
      </c>
    </row>
    <row r="66" spans="1:34" x14ac:dyDescent="0.25">
      <c r="A66" t="s">
        <v>82</v>
      </c>
      <c r="B66">
        <v>0</v>
      </c>
      <c r="C66">
        <v>0</v>
      </c>
      <c r="D66">
        <v>118</v>
      </c>
      <c r="E66">
        <v>132</v>
      </c>
      <c r="F66">
        <v>24148</v>
      </c>
      <c r="G66">
        <v>25613</v>
      </c>
      <c r="H66">
        <v>25734</v>
      </c>
      <c r="I66">
        <v>24255</v>
      </c>
      <c r="J66">
        <v>0</v>
      </c>
      <c r="K66">
        <v>0</v>
      </c>
      <c r="L66">
        <v>49989</v>
      </c>
      <c r="M66">
        <v>48403</v>
      </c>
      <c r="N66" s="1">
        <v>0.50114285714285711</v>
      </c>
      <c r="O66" s="1">
        <v>0.48524310776942353</v>
      </c>
      <c r="P66" s="1">
        <v>2.5000000000000001E-3</v>
      </c>
      <c r="Q66">
        <v>0.47035457844227718</v>
      </c>
      <c r="R66">
        <v>1.1481032337148445E-20</v>
      </c>
      <c r="S66" t="b">
        <v>1</v>
      </c>
      <c r="T66" t="b">
        <v>0</v>
      </c>
      <c r="V66" s="3"/>
      <c r="X66" s="11">
        <f t="shared" ref="X66:X97" si="8">SUM(B66:I66)</f>
        <v>100000</v>
      </c>
      <c r="Z66" s="4" t="s">
        <v>159</v>
      </c>
      <c r="AD66" t="b" cm="1">
        <f t="array" ref="AD66">OR(NOT(ISBLANK(Y66:AB66)))</f>
        <v>1</v>
      </c>
      <c r="AE66" t="b">
        <f t="shared" ref="AE66:AE97" si="9">OR(NOT(S66),AND(Q66&gt;0.05, Q66&lt;0.15), P66&gt;0.1,O66&gt;0.6, O66&lt;0.4,L66&lt;8000,(C66/X66)&gt;0.05, (B66/X66)&gt;0.05)</f>
        <v>0</v>
      </c>
      <c r="AF66" t="b">
        <f t="shared" ref="AF66:AF97" si="10">OR(NOT(S66), AND(Q66&gt;0.05, Q66&lt;0.15), L66&lt;8000,(C66/X66)&gt;0.05, (B66/X66)&gt;0.05)</f>
        <v>0</v>
      </c>
      <c r="AG66" t="b">
        <f t="shared" ref="AG66:AG92" si="11">OR(AND(Q66&lt;=0.15, Q66&gt;0.001), AND(R66&lt;=0.15, R66&gt;0.001))</f>
        <v>0</v>
      </c>
    </row>
    <row r="67" spans="1:34" x14ac:dyDescent="0.25">
      <c r="A67" t="s">
        <v>83</v>
      </c>
      <c r="B67">
        <v>513</v>
      </c>
      <c r="C67">
        <v>0</v>
      </c>
      <c r="D67">
        <v>2581</v>
      </c>
      <c r="E67">
        <v>2525</v>
      </c>
      <c r="F67">
        <v>23117</v>
      </c>
      <c r="G67">
        <v>24190</v>
      </c>
      <c r="H67">
        <v>24051</v>
      </c>
      <c r="I67">
        <v>23023</v>
      </c>
      <c r="J67">
        <v>513</v>
      </c>
      <c r="K67">
        <v>510</v>
      </c>
      <c r="L67">
        <v>47074</v>
      </c>
      <c r="M67">
        <v>46140</v>
      </c>
      <c r="N67" s="1">
        <v>0.49876564138968649</v>
      </c>
      <c r="O67" s="1">
        <v>0.48886958180142187</v>
      </c>
      <c r="P67" s="1">
        <v>5.1060000000000001E-2</v>
      </c>
      <c r="Q67">
        <v>0.44819555790086257</v>
      </c>
      <c r="R67">
        <v>7.9825392497733978E-12</v>
      </c>
      <c r="S67" t="b">
        <v>1</v>
      </c>
      <c r="T67" t="b">
        <v>0</v>
      </c>
      <c r="V67" s="3"/>
      <c r="X67" s="11">
        <f t="shared" si="8"/>
        <v>100000</v>
      </c>
      <c r="AD67" t="b" cm="1">
        <f t="array" ref="AD67">OR(NOT(ISBLANK(Y67:AB67)))</f>
        <v>0</v>
      </c>
      <c r="AE67" t="b">
        <f t="shared" si="9"/>
        <v>0</v>
      </c>
      <c r="AF67" t="b">
        <f t="shared" si="10"/>
        <v>0</v>
      </c>
      <c r="AG67" t="b">
        <f t="shared" si="11"/>
        <v>0</v>
      </c>
    </row>
    <row r="68" spans="1:34" x14ac:dyDescent="0.25">
      <c r="A68" t="s">
        <v>84</v>
      </c>
      <c r="B68">
        <v>0</v>
      </c>
      <c r="C68">
        <v>1095</v>
      </c>
      <c r="D68">
        <v>0</v>
      </c>
      <c r="E68">
        <v>0</v>
      </c>
      <c r="F68">
        <v>25791</v>
      </c>
      <c r="G68">
        <v>23529</v>
      </c>
      <c r="H68">
        <v>23684</v>
      </c>
      <c r="I68">
        <v>25901</v>
      </c>
      <c r="J68">
        <v>1095</v>
      </c>
      <c r="K68">
        <v>5</v>
      </c>
      <c r="L68">
        <v>49585</v>
      </c>
      <c r="M68">
        <v>51692</v>
      </c>
      <c r="N68" s="1">
        <v>0.50133966937970775</v>
      </c>
      <c r="O68" s="1">
        <v>0.5226429401951368</v>
      </c>
      <c r="P68" s="1">
        <v>0</v>
      </c>
      <c r="Q68">
        <v>0.39943558856540007</v>
      </c>
      <c r="R68">
        <v>5.0244976228977323E-46</v>
      </c>
      <c r="S68" t="b">
        <v>1</v>
      </c>
      <c r="T68" t="b">
        <v>0</v>
      </c>
      <c r="V68" s="3"/>
      <c r="X68" s="11">
        <f t="shared" si="8"/>
        <v>100000</v>
      </c>
      <c r="AD68" t="b" cm="1">
        <f t="array" ref="AD68">OR(NOT(ISBLANK(Y68:AB68)))</f>
        <v>0</v>
      </c>
      <c r="AE68" t="b">
        <f t="shared" si="9"/>
        <v>0</v>
      </c>
      <c r="AF68" t="b">
        <f t="shared" si="10"/>
        <v>0</v>
      </c>
      <c r="AG68" t="b">
        <f t="shared" si="11"/>
        <v>0</v>
      </c>
      <c r="AH68" t="s">
        <v>183</v>
      </c>
    </row>
    <row r="69" spans="1:34" x14ac:dyDescent="0.25">
      <c r="A69" t="s">
        <v>85</v>
      </c>
      <c r="B69">
        <v>3071</v>
      </c>
      <c r="C69">
        <v>0</v>
      </c>
      <c r="D69">
        <v>24</v>
      </c>
      <c r="E69">
        <v>15</v>
      </c>
      <c r="F69">
        <v>24097</v>
      </c>
      <c r="G69">
        <v>24541</v>
      </c>
      <c r="H69">
        <v>24378</v>
      </c>
      <c r="I69">
        <v>23874</v>
      </c>
      <c r="J69">
        <v>3071</v>
      </c>
      <c r="K69">
        <v>106</v>
      </c>
      <c r="L69">
        <v>48252</v>
      </c>
      <c r="M69">
        <v>47971</v>
      </c>
      <c r="N69" s="1">
        <v>0.49800805036639489</v>
      </c>
      <c r="O69" s="1">
        <v>0.4951078542677263</v>
      </c>
      <c r="P69" s="1">
        <v>3.8999999999999999E-4</v>
      </c>
      <c r="Q69">
        <v>0.21494778733748493</v>
      </c>
      <c r="R69">
        <v>2.3223822964134463E-3</v>
      </c>
      <c r="S69" t="b">
        <v>1</v>
      </c>
      <c r="T69" t="b">
        <v>0</v>
      </c>
      <c r="V69" s="3"/>
      <c r="X69" s="11">
        <f t="shared" si="8"/>
        <v>100000</v>
      </c>
      <c r="Y69" s="4" t="s">
        <v>177</v>
      </c>
      <c r="AD69" t="b" cm="1">
        <f t="array" ref="AD69">OR(NOT(ISBLANK(Y69:AB69)))</f>
        <v>1</v>
      </c>
      <c r="AE69" t="b">
        <f t="shared" si="9"/>
        <v>0</v>
      </c>
      <c r="AF69" t="b">
        <f t="shared" si="10"/>
        <v>0</v>
      </c>
      <c r="AG69" t="b">
        <f t="shared" si="11"/>
        <v>1</v>
      </c>
    </row>
    <row r="70" spans="1:34" x14ac:dyDescent="0.25">
      <c r="A70" t="s">
        <v>88</v>
      </c>
      <c r="B70">
        <v>0</v>
      </c>
      <c r="C70">
        <v>244</v>
      </c>
      <c r="D70">
        <v>60</v>
      </c>
      <c r="E70">
        <v>56</v>
      </c>
      <c r="F70">
        <v>28390</v>
      </c>
      <c r="G70">
        <v>21641</v>
      </c>
      <c r="H70">
        <v>21426</v>
      </c>
      <c r="I70">
        <v>28183</v>
      </c>
      <c r="J70">
        <v>244</v>
      </c>
      <c r="K70">
        <v>365</v>
      </c>
      <c r="L70">
        <v>49609</v>
      </c>
      <c r="M70">
        <v>56573</v>
      </c>
      <c r="N70" s="1">
        <v>0.49788237655560014</v>
      </c>
      <c r="O70" s="1">
        <v>0.56777398635086307</v>
      </c>
      <c r="P70" s="1">
        <v>1.16E-3</v>
      </c>
      <c r="Q70">
        <v>0.18125862912159935</v>
      </c>
      <c r="R70">
        <v>0</v>
      </c>
      <c r="S70" t="b">
        <v>1</v>
      </c>
      <c r="T70" t="b">
        <v>0</v>
      </c>
      <c r="V70" s="3"/>
      <c r="X70" s="11">
        <f t="shared" si="8"/>
        <v>100000</v>
      </c>
      <c r="AD70" t="b" cm="1">
        <f t="array" ref="AD70">OR(NOT(ISBLANK(Y70:AB70)))</f>
        <v>0</v>
      </c>
      <c r="AE70" t="b">
        <f t="shared" si="9"/>
        <v>0</v>
      </c>
      <c r="AF70" t="b">
        <f t="shared" si="10"/>
        <v>0</v>
      </c>
      <c r="AG70" t="b">
        <f t="shared" si="11"/>
        <v>0</v>
      </c>
    </row>
    <row r="71" spans="1:34" x14ac:dyDescent="0.25">
      <c r="A71" t="s">
        <v>86</v>
      </c>
      <c r="B71">
        <v>1676</v>
      </c>
      <c r="C71">
        <v>6769</v>
      </c>
      <c r="D71">
        <v>48</v>
      </c>
      <c r="E71">
        <v>56</v>
      </c>
      <c r="F71">
        <v>48132</v>
      </c>
      <c r="G71">
        <v>47576</v>
      </c>
      <c r="H71">
        <v>47521</v>
      </c>
      <c r="I71">
        <v>48222</v>
      </c>
      <c r="J71">
        <v>8445</v>
      </c>
      <c r="K71">
        <v>14779</v>
      </c>
      <c r="L71">
        <v>95743</v>
      </c>
      <c r="M71">
        <v>96354</v>
      </c>
      <c r="N71" s="1">
        <v>0.50009140720079814</v>
      </c>
      <c r="O71" s="1">
        <v>0.50328282432580662</v>
      </c>
      <c r="P71" s="1">
        <v>5.1999999999999995E-4</v>
      </c>
      <c r="Q71">
        <v>0.93624469251776998</v>
      </c>
      <c r="R71">
        <v>4.0684251003639026E-3</v>
      </c>
      <c r="S71" t="b">
        <v>1</v>
      </c>
      <c r="T71" t="b">
        <v>0</v>
      </c>
      <c r="V71" s="3"/>
      <c r="X71" s="11">
        <f t="shared" si="8"/>
        <v>200000</v>
      </c>
      <c r="Y71" s="4" t="s">
        <v>177</v>
      </c>
      <c r="AD71" t="b" cm="1">
        <f t="array" ref="AD71">OR(NOT(ISBLANK(Y71:AB71)))</f>
        <v>1</v>
      </c>
      <c r="AE71" t="b">
        <f t="shared" si="9"/>
        <v>0</v>
      </c>
      <c r="AF71" t="b">
        <f t="shared" si="10"/>
        <v>0</v>
      </c>
      <c r="AG71" t="b">
        <f t="shared" si="11"/>
        <v>1</v>
      </c>
    </row>
    <row r="72" spans="1:34" x14ac:dyDescent="0.25">
      <c r="A72" t="s">
        <v>87</v>
      </c>
      <c r="B72">
        <v>454</v>
      </c>
      <c r="C72">
        <v>0</v>
      </c>
      <c r="D72">
        <v>5</v>
      </c>
      <c r="E72">
        <v>3</v>
      </c>
      <c r="F72">
        <v>24967</v>
      </c>
      <c r="G72">
        <v>24636</v>
      </c>
      <c r="H72">
        <v>24798</v>
      </c>
      <c r="I72">
        <v>25137</v>
      </c>
      <c r="J72">
        <v>454</v>
      </c>
      <c r="K72">
        <v>746</v>
      </c>
      <c r="L72">
        <v>49935</v>
      </c>
      <c r="M72">
        <v>50104</v>
      </c>
      <c r="N72" s="1">
        <v>0.5016677047961583</v>
      </c>
      <c r="O72" s="1">
        <v>0.50336554883562057</v>
      </c>
      <c r="P72" s="1">
        <v>8.0000000000000007E-5</v>
      </c>
      <c r="Q72">
        <v>0.29265742176166915</v>
      </c>
      <c r="R72">
        <v>3.3700482887335209E-2</v>
      </c>
      <c r="S72" t="b">
        <v>1</v>
      </c>
      <c r="T72" t="b">
        <v>0</v>
      </c>
      <c r="V72" s="3"/>
      <c r="X72" s="11">
        <f t="shared" si="8"/>
        <v>100000</v>
      </c>
      <c r="Y72" s="4" t="s">
        <v>166</v>
      </c>
      <c r="AD72" t="b" cm="1">
        <f t="array" ref="AD72">OR(NOT(ISBLANK(Y72:AB72)))</f>
        <v>1</v>
      </c>
      <c r="AE72" t="b">
        <f t="shared" si="9"/>
        <v>0</v>
      </c>
      <c r="AF72" t="b">
        <f t="shared" si="10"/>
        <v>0</v>
      </c>
      <c r="AG72" t="b">
        <f t="shared" si="11"/>
        <v>1</v>
      </c>
    </row>
    <row r="73" spans="1:34" x14ac:dyDescent="0.25">
      <c r="A73" t="s">
        <v>89</v>
      </c>
      <c r="B73">
        <v>400</v>
      </c>
      <c r="C73">
        <v>0</v>
      </c>
      <c r="D73">
        <v>0</v>
      </c>
      <c r="E73">
        <v>0</v>
      </c>
      <c r="F73">
        <v>25296</v>
      </c>
      <c r="G73">
        <v>24624</v>
      </c>
      <c r="H73">
        <v>24504</v>
      </c>
      <c r="I73">
        <v>25176</v>
      </c>
      <c r="J73">
        <v>400</v>
      </c>
      <c r="K73">
        <v>0</v>
      </c>
      <c r="L73">
        <v>49680</v>
      </c>
      <c r="M73">
        <v>50472</v>
      </c>
      <c r="N73" s="1">
        <v>0.49879518072289158</v>
      </c>
      <c r="O73" s="1">
        <v>0.50674698795180728</v>
      </c>
      <c r="P73" s="1">
        <v>0</v>
      </c>
      <c r="Q73">
        <v>0.44697423239628697</v>
      </c>
      <c r="R73">
        <v>2.0568638425051001E-5</v>
      </c>
      <c r="S73" t="b">
        <v>1</v>
      </c>
      <c r="T73" t="b">
        <v>0</v>
      </c>
      <c r="V73" s="3"/>
      <c r="X73" s="11">
        <f t="shared" si="8"/>
        <v>100000</v>
      </c>
      <c r="AD73" t="b" cm="1">
        <f t="array" ref="AD73">OR(NOT(ISBLANK(Y73:AB73)))</f>
        <v>0</v>
      </c>
      <c r="AE73" t="b">
        <f t="shared" si="9"/>
        <v>0</v>
      </c>
      <c r="AF73" t="b">
        <f t="shared" si="10"/>
        <v>0</v>
      </c>
      <c r="AG73" t="b">
        <f t="shared" si="11"/>
        <v>0</v>
      </c>
    </row>
    <row r="74" spans="1:34" x14ac:dyDescent="0.25">
      <c r="A74" t="s">
        <v>90</v>
      </c>
      <c r="B74">
        <v>196</v>
      </c>
      <c r="C74">
        <v>4386</v>
      </c>
      <c r="D74">
        <v>3690</v>
      </c>
      <c r="E74">
        <v>3765</v>
      </c>
      <c r="F74">
        <v>21511</v>
      </c>
      <c r="G74">
        <v>22601</v>
      </c>
      <c r="H74">
        <v>22522</v>
      </c>
      <c r="I74">
        <v>21329</v>
      </c>
      <c r="J74">
        <v>4582</v>
      </c>
      <c r="K74">
        <v>0</v>
      </c>
      <c r="L74">
        <v>43851</v>
      </c>
      <c r="M74">
        <v>42840</v>
      </c>
      <c r="N74" s="1">
        <v>0.49851642167729615</v>
      </c>
      <c r="O74" s="1">
        <v>0.4870229528324409</v>
      </c>
      <c r="P74" s="1">
        <v>7.4550000000000005E-2</v>
      </c>
      <c r="Q74">
        <v>0.37885072685726356</v>
      </c>
      <c r="R74">
        <v>1.3863489809478172E-14</v>
      </c>
      <c r="S74" t="b">
        <v>1</v>
      </c>
      <c r="T74" t="b">
        <v>0</v>
      </c>
      <c r="V74" s="3"/>
      <c r="X74" s="11">
        <f t="shared" si="8"/>
        <v>100000</v>
      </c>
      <c r="AD74" t="b" cm="1">
        <f t="array" ref="AD74">OR(NOT(ISBLANK(Y74:AB74)))</f>
        <v>0</v>
      </c>
      <c r="AE74" t="b">
        <f t="shared" si="9"/>
        <v>0</v>
      </c>
      <c r="AF74" t="b">
        <f t="shared" si="10"/>
        <v>0</v>
      </c>
      <c r="AG74" t="b">
        <f t="shared" si="11"/>
        <v>0</v>
      </c>
    </row>
    <row r="75" spans="1:34" x14ac:dyDescent="0.25">
      <c r="A75" t="s">
        <v>91</v>
      </c>
      <c r="B75">
        <v>0</v>
      </c>
      <c r="C75">
        <v>0</v>
      </c>
      <c r="D75">
        <v>1490</v>
      </c>
      <c r="E75">
        <v>1476</v>
      </c>
      <c r="F75">
        <v>24485</v>
      </c>
      <c r="G75">
        <v>23959</v>
      </c>
      <c r="H75">
        <v>24025</v>
      </c>
      <c r="I75">
        <v>24565</v>
      </c>
      <c r="J75">
        <v>0</v>
      </c>
      <c r="K75">
        <v>0</v>
      </c>
      <c r="L75">
        <v>48590</v>
      </c>
      <c r="M75">
        <v>49050</v>
      </c>
      <c r="N75" s="1">
        <v>0.50075231362202943</v>
      </c>
      <c r="O75" s="1">
        <v>0.50549292000742008</v>
      </c>
      <c r="P75" s="1">
        <v>2.9659999999999999E-2</v>
      </c>
      <c r="Q75">
        <v>0.63928722317187192</v>
      </c>
      <c r="R75">
        <v>6.2134878600780157E-4</v>
      </c>
      <c r="S75" t="b">
        <v>1</v>
      </c>
      <c r="T75" t="b">
        <v>0</v>
      </c>
      <c r="V75" s="3"/>
      <c r="X75" s="11">
        <f t="shared" si="8"/>
        <v>100000</v>
      </c>
      <c r="AD75" t="b" cm="1">
        <f t="array" ref="AD75">OR(NOT(ISBLANK(Y75:AB75)))</f>
        <v>0</v>
      </c>
      <c r="AE75" t="b">
        <f t="shared" si="9"/>
        <v>0</v>
      </c>
      <c r="AF75" t="b">
        <f t="shared" si="10"/>
        <v>0</v>
      </c>
      <c r="AG75" t="b">
        <f t="shared" si="11"/>
        <v>0</v>
      </c>
    </row>
    <row r="76" spans="1:34" x14ac:dyDescent="0.25">
      <c r="A76" t="s">
        <v>93</v>
      </c>
      <c r="B76">
        <v>0</v>
      </c>
      <c r="C76">
        <v>0</v>
      </c>
      <c r="D76">
        <v>4889</v>
      </c>
      <c r="E76">
        <v>5004</v>
      </c>
      <c r="F76">
        <v>34262</v>
      </c>
      <c r="G76">
        <v>30808</v>
      </c>
      <c r="H76">
        <v>30849</v>
      </c>
      <c r="I76">
        <v>34188</v>
      </c>
      <c r="J76">
        <v>0</v>
      </c>
      <c r="K76">
        <v>33842</v>
      </c>
      <c r="L76">
        <v>65037</v>
      </c>
      <c r="M76">
        <v>68450</v>
      </c>
      <c r="N76" s="1">
        <v>0.4998731813046185</v>
      </c>
      <c r="O76" s="1">
        <v>0.52610543629474205</v>
      </c>
      <c r="P76" s="1">
        <v>7.0664285714285721E-2</v>
      </c>
      <c r="Q76">
        <v>0.92710492878899131</v>
      </c>
      <c r="R76">
        <v>4.0788316911948179E-79</v>
      </c>
      <c r="S76" t="b">
        <v>1</v>
      </c>
      <c r="T76" t="b">
        <v>0</v>
      </c>
      <c r="V76" s="3"/>
      <c r="X76" s="11">
        <f t="shared" si="8"/>
        <v>140000</v>
      </c>
      <c r="AD76" t="b" cm="1">
        <f t="array" ref="AD76">OR(NOT(ISBLANK(Y76:AB76)))</f>
        <v>0</v>
      </c>
      <c r="AE76" t="b">
        <f t="shared" si="9"/>
        <v>0</v>
      </c>
      <c r="AF76" t="b">
        <f t="shared" si="10"/>
        <v>0</v>
      </c>
      <c r="AG76" t="b">
        <f t="shared" si="11"/>
        <v>0</v>
      </c>
      <c r="AH76" t="s">
        <v>181</v>
      </c>
    </row>
    <row r="77" spans="1:34" x14ac:dyDescent="0.25">
      <c r="A77" t="s">
        <v>92</v>
      </c>
      <c r="B77">
        <v>175</v>
      </c>
      <c r="C77">
        <v>0</v>
      </c>
      <c r="D77">
        <v>2405</v>
      </c>
      <c r="E77">
        <v>2462</v>
      </c>
      <c r="F77">
        <v>29017</v>
      </c>
      <c r="G77">
        <v>18425</v>
      </c>
      <c r="H77">
        <v>18490</v>
      </c>
      <c r="I77">
        <v>29026</v>
      </c>
      <c r="J77">
        <v>175</v>
      </c>
      <c r="K77">
        <v>3</v>
      </c>
      <c r="L77">
        <v>47516</v>
      </c>
      <c r="M77">
        <v>58043</v>
      </c>
      <c r="N77" s="1">
        <v>0.50038964594873525</v>
      </c>
      <c r="O77" s="1">
        <v>0.61124918384970195</v>
      </c>
      <c r="P77" s="1">
        <v>4.8669999999999998E-2</v>
      </c>
      <c r="Q77">
        <v>0.8102211111170935</v>
      </c>
      <c r="R77">
        <v>0</v>
      </c>
      <c r="S77" t="b">
        <v>1</v>
      </c>
      <c r="T77" t="b">
        <v>0</v>
      </c>
      <c r="V77" s="3"/>
      <c r="X77" s="11">
        <f t="shared" si="8"/>
        <v>100000</v>
      </c>
      <c r="AD77" t="b" cm="1">
        <f t="array" ref="AD77">OR(NOT(ISBLANK(Y77:AB77)))</f>
        <v>0</v>
      </c>
      <c r="AE77" t="b">
        <f t="shared" si="9"/>
        <v>1</v>
      </c>
      <c r="AF77" t="b">
        <f t="shared" si="10"/>
        <v>0</v>
      </c>
      <c r="AG77" t="b">
        <f t="shared" si="11"/>
        <v>0</v>
      </c>
    </row>
    <row r="78" spans="1:34" x14ac:dyDescent="0.25">
      <c r="A78" t="s">
        <v>94</v>
      </c>
      <c r="B78">
        <v>467</v>
      </c>
      <c r="C78">
        <v>0</v>
      </c>
      <c r="D78">
        <v>893</v>
      </c>
      <c r="E78">
        <v>924</v>
      </c>
      <c r="F78">
        <v>30090</v>
      </c>
      <c r="G78">
        <v>18793</v>
      </c>
      <c r="H78">
        <v>18791</v>
      </c>
      <c r="I78">
        <v>30042</v>
      </c>
      <c r="J78">
        <v>467</v>
      </c>
      <c r="K78">
        <v>0</v>
      </c>
      <c r="L78">
        <v>48833</v>
      </c>
      <c r="M78">
        <v>60132</v>
      </c>
      <c r="N78" s="1">
        <v>0.49974415653526544</v>
      </c>
      <c r="O78" s="1">
        <v>0.61537516885668675</v>
      </c>
      <c r="P78" s="1">
        <v>1.8169999999999999E-2</v>
      </c>
      <c r="Q78">
        <v>0.87291961419064579</v>
      </c>
      <c r="R78">
        <v>0</v>
      </c>
      <c r="S78" t="b">
        <v>1</v>
      </c>
      <c r="T78" t="b">
        <v>0</v>
      </c>
      <c r="V78" s="3"/>
      <c r="X78" s="11">
        <f t="shared" si="8"/>
        <v>100000</v>
      </c>
      <c r="AD78" t="b" cm="1">
        <f t="array" ref="AD78">OR(NOT(ISBLANK(Y78:AB78)))</f>
        <v>0</v>
      </c>
      <c r="AE78" t="b">
        <f t="shared" si="9"/>
        <v>1</v>
      </c>
      <c r="AF78" t="b">
        <f t="shared" si="10"/>
        <v>0</v>
      </c>
      <c r="AG78" t="b">
        <f t="shared" si="11"/>
        <v>0</v>
      </c>
    </row>
    <row r="79" spans="1:34" x14ac:dyDescent="0.25">
      <c r="A79" t="s">
        <v>95</v>
      </c>
      <c r="B79">
        <v>0</v>
      </c>
      <c r="C79">
        <v>0</v>
      </c>
      <c r="D79">
        <v>2015</v>
      </c>
      <c r="E79">
        <v>2023</v>
      </c>
      <c r="F79">
        <v>26646</v>
      </c>
      <c r="G79">
        <v>21133</v>
      </c>
      <c r="H79">
        <v>21339</v>
      </c>
      <c r="I79">
        <v>26844</v>
      </c>
      <c r="J79">
        <v>0</v>
      </c>
      <c r="K79">
        <v>14</v>
      </c>
      <c r="L79">
        <v>48183</v>
      </c>
      <c r="M79">
        <v>53490</v>
      </c>
      <c r="N79" s="1">
        <v>0.50210499989579205</v>
      </c>
      <c r="O79" s="1">
        <v>0.55740814072236922</v>
      </c>
      <c r="P79" s="1">
        <v>4.0379999999999999E-2</v>
      </c>
      <c r="Q79">
        <v>0.19217817107193622</v>
      </c>
      <c r="R79">
        <v>4.460068835467608E-277</v>
      </c>
      <c r="S79" t="b">
        <v>1</v>
      </c>
      <c r="T79" t="b">
        <v>0</v>
      </c>
      <c r="V79" s="3"/>
      <c r="X79" s="11">
        <f t="shared" si="8"/>
        <v>100000</v>
      </c>
      <c r="AD79" t="b" cm="1">
        <f t="array" ref="AD79">OR(NOT(ISBLANK(Y79:AB79)))</f>
        <v>0</v>
      </c>
      <c r="AE79" t="b">
        <f t="shared" si="9"/>
        <v>0</v>
      </c>
      <c r="AF79" t="b">
        <f t="shared" si="10"/>
        <v>0</v>
      </c>
      <c r="AG79" t="b">
        <f t="shared" si="11"/>
        <v>0</v>
      </c>
    </row>
    <row r="80" spans="1:34" x14ac:dyDescent="0.25">
      <c r="A80" t="s">
        <v>96</v>
      </c>
      <c r="B80">
        <v>1745</v>
      </c>
      <c r="C80">
        <v>81</v>
      </c>
      <c r="D80">
        <v>3568</v>
      </c>
      <c r="E80">
        <v>3472</v>
      </c>
      <c r="F80">
        <v>22820</v>
      </c>
      <c r="G80">
        <v>22932</v>
      </c>
      <c r="H80">
        <v>22696</v>
      </c>
      <c r="I80">
        <v>22686</v>
      </c>
      <c r="J80">
        <v>1826</v>
      </c>
      <c r="K80">
        <v>0</v>
      </c>
      <c r="L80">
        <v>45382</v>
      </c>
      <c r="M80">
        <v>45506</v>
      </c>
      <c r="N80" s="1">
        <v>0.4979700221651634</v>
      </c>
      <c r="O80" s="1">
        <v>0.49933065595716197</v>
      </c>
      <c r="P80" s="1">
        <v>7.0400000000000004E-2</v>
      </c>
      <c r="Q80">
        <v>0.22033568520200869</v>
      </c>
      <c r="R80">
        <v>0.68611813552978651</v>
      </c>
      <c r="S80" t="b">
        <v>1</v>
      </c>
      <c r="T80" t="b">
        <v>1</v>
      </c>
      <c r="V80" s="3"/>
      <c r="X80" s="11">
        <f t="shared" si="8"/>
        <v>100000</v>
      </c>
      <c r="AD80" t="b" cm="1">
        <f t="array" ref="AD80">OR(NOT(ISBLANK(Y80:AB80)))</f>
        <v>0</v>
      </c>
      <c r="AE80" t="b">
        <f t="shared" si="9"/>
        <v>0</v>
      </c>
      <c r="AF80" t="b">
        <f t="shared" si="10"/>
        <v>0</v>
      </c>
      <c r="AG80" t="b">
        <f t="shared" si="11"/>
        <v>0</v>
      </c>
    </row>
    <row r="81" spans="1:33" x14ac:dyDescent="0.25">
      <c r="A81" t="s">
        <v>97</v>
      </c>
      <c r="B81">
        <v>0</v>
      </c>
      <c r="C81">
        <v>0</v>
      </c>
      <c r="D81">
        <v>3972</v>
      </c>
      <c r="E81">
        <v>3950</v>
      </c>
      <c r="F81">
        <v>22473</v>
      </c>
      <c r="G81">
        <v>23739</v>
      </c>
      <c r="H81">
        <v>23555</v>
      </c>
      <c r="I81">
        <v>22311</v>
      </c>
      <c r="J81">
        <v>0</v>
      </c>
      <c r="K81">
        <v>0</v>
      </c>
      <c r="L81">
        <v>45866</v>
      </c>
      <c r="M81">
        <v>44784</v>
      </c>
      <c r="N81" s="1">
        <v>0.49812115814852626</v>
      </c>
      <c r="O81" s="1">
        <v>0.48637025130867306</v>
      </c>
      <c r="P81" s="1">
        <v>7.9219999999999999E-2</v>
      </c>
      <c r="Q81">
        <v>0.2541842626077227</v>
      </c>
      <c r="R81">
        <v>1.3204100057720978E-16</v>
      </c>
      <c r="S81" t="b">
        <v>1</v>
      </c>
      <c r="T81" t="b">
        <v>0</v>
      </c>
      <c r="V81" s="3"/>
      <c r="X81" s="11">
        <f t="shared" si="8"/>
        <v>100000</v>
      </c>
      <c r="AD81" t="b" cm="1">
        <f t="array" ref="AD81">OR(NOT(ISBLANK(Y81:AB81)))</f>
        <v>0</v>
      </c>
      <c r="AE81" t="b">
        <f t="shared" si="9"/>
        <v>0</v>
      </c>
      <c r="AF81" t="b">
        <f t="shared" si="10"/>
        <v>0</v>
      </c>
      <c r="AG81" t="b">
        <f t="shared" si="11"/>
        <v>0</v>
      </c>
    </row>
    <row r="82" spans="1:33" x14ac:dyDescent="0.25">
      <c r="A82" t="s">
        <v>98</v>
      </c>
      <c r="B82">
        <v>3581</v>
      </c>
      <c r="C82">
        <v>3</v>
      </c>
      <c r="D82">
        <v>0</v>
      </c>
      <c r="E82">
        <v>0</v>
      </c>
      <c r="F82">
        <v>25613</v>
      </c>
      <c r="G82">
        <v>22608</v>
      </c>
      <c r="H82">
        <v>22591</v>
      </c>
      <c r="I82">
        <v>25604</v>
      </c>
      <c r="J82">
        <v>3584</v>
      </c>
      <c r="K82">
        <v>0</v>
      </c>
      <c r="L82">
        <v>48195</v>
      </c>
      <c r="M82">
        <v>51217</v>
      </c>
      <c r="N82" s="1">
        <v>0.4998651676070362</v>
      </c>
      <c r="O82" s="1">
        <v>0.53120851310985728</v>
      </c>
      <c r="P82" s="1">
        <v>0</v>
      </c>
      <c r="Q82">
        <v>0.93326839077648538</v>
      </c>
      <c r="R82">
        <v>1.1151603428537422E-83</v>
      </c>
      <c r="S82" t="b">
        <v>1</v>
      </c>
      <c r="T82" t="b">
        <v>0</v>
      </c>
      <c r="V82" s="3"/>
      <c r="X82" s="11">
        <f t="shared" si="8"/>
        <v>100000</v>
      </c>
      <c r="AD82" t="b" cm="1">
        <f t="array" ref="AD82">OR(NOT(ISBLANK(Y82:AB82)))</f>
        <v>0</v>
      </c>
      <c r="AE82" t="b">
        <f t="shared" si="9"/>
        <v>0</v>
      </c>
      <c r="AF82" t="b">
        <f t="shared" si="10"/>
        <v>0</v>
      </c>
      <c r="AG82" t="b">
        <f t="shared" si="11"/>
        <v>0</v>
      </c>
    </row>
    <row r="83" spans="1:33" x14ac:dyDescent="0.25">
      <c r="A83" t="s">
        <v>99</v>
      </c>
      <c r="B83">
        <v>0</v>
      </c>
      <c r="C83">
        <v>0</v>
      </c>
      <c r="D83">
        <v>2045</v>
      </c>
      <c r="E83">
        <v>1990</v>
      </c>
      <c r="F83">
        <v>23619</v>
      </c>
      <c r="G83">
        <v>24296</v>
      </c>
      <c r="H83">
        <v>24336</v>
      </c>
      <c r="I83">
        <v>23714</v>
      </c>
      <c r="J83">
        <v>0</v>
      </c>
      <c r="L83">
        <v>48050</v>
      </c>
      <c r="M83">
        <v>47333</v>
      </c>
      <c r="N83" s="1">
        <v>0.50070338144115045</v>
      </c>
      <c r="O83" s="1">
        <v>0.49323190746626372</v>
      </c>
      <c r="P83" s="1">
        <v>4.0349999999999997E-2</v>
      </c>
      <c r="Q83">
        <v>0.66298904577994389</v>
      </c>
      <c r="R83">
        <v>2.749631330084584E-5</v>
      </c>
      <c r="S83" t="b">
        <v>1</v>
      </c>
      <c r="T83" t="b">
        <v>0</v>
      </c>
      <c r="V83" s="3"/>
      <c r="X83" s="11">
        <f t="shared" si="8"/>
        <v>100000</v>
      </c>
      <c r="AD83" t="b" cm="1">
        <f t="array" ref="AD83">OR(NOT(ISBLANK(Y83:AB83)))</f>
        <v>0</v>
      </c>
      <c r="AE83" t="b">
        <f t="shared" si="9"/>
        <v>0</v>
      </c>
      <c r="AF83" t="b">
        <f t="shared" si="10"/>
        <v>0</v>
      </c>
      <c r="AG83" t="b">
        <f t="shared" si="11"/>
        <v>0</v>
      </c>
    </row>
    <row r="84" spans="1:33" x14ac:dyDescent="0.25">
      <c r="A84" t="s">
        <v>100</v>
      </c>
      <c r="B84">
        <v>167</v>
      </c>
      <c r="C84">
        <v>0</v>
      </c>
      <c r="D84">
        <v>9123</v>
      </c>
      <c r="E84">
        <v>9201</v>
      </c>
      <c r="F84">
        <v>30575</v>
      </c>
      <c r="G84">
        <v>30322</v>
      </c>
      <c r="H84">
        <v>30210</v>
      </c>
      <c r="I84">
        <v>30402</v>
      </c>
      <c r="J84">
        <v>167</v>
      </c>
      <c r="K84">
        <v>0</v>
      </c>
      <c r="L84">
        <v>60612</v>
      </c>
      <c r="M84">
        <v>60977</v>
      </c>
      <c r="N84" s="1">
        <v>0.49882724736439277</v>
      </c>
      <c r="O84" s="1">
        <v>0.50183114008015872</v>
      </c>
      <c r="P84" s="1">
        <v>0.13088571428571427</v>
      </c>
      <c r="Q84">
        <v>0.41358589221907449</v>
      </c>
      <c r="R84">
        <v>0.20174251805392604</v>
      </c>
      <c r="S84" t="b">
        <v>1</v>
      </c>
      <c r="T84" t="b">
        <v>1</v>
      </c>
      <c r="V84" s="3"/>
      <c r="X84" s="11">
        <f t="shared" si="8"/>
        <v>140000</v>
      </c>
      <c r="AD84" t="b" cm="1">
        <f t="array" ref="AD84">OR(NOT(ISBLANK(Y84:AB84)))</f>
        <v>0</v>
      </c>
      <c r="AE84" t="b">
        <f t="shared" si="9"/>
        <v>1</v>
      </c>
      <c r="AF84" t="b">
        <f t="shared" si="10"/>
        <v>0</v>
      </c>
      <c r="AG84" t="b">
        <f t="shared" si="11"/>
        <v>0</v>
      </c>
    </row>
    <row r="85" spans="1:33" x14ac:dyDescent="0.25">
      <c r="A85" t="s">
        <v>101</v>
      </c>
      <c r="B85">
        <v>0</v>
      </c>
      <c r="C85">
        <v>0</v>
      </c>
      <c r="D85">
        <v>2599</v>
      </c>
      <c r="E85">
        <v>2578</v>
      </c>
      <c r="F85">
        <v>20546</v>
      </c>
      <c r="G85">
        <v>27033</v>
      </c>
      <c r="H85">
        <v>26855</v>
      </c>
      <c r="I85">
        <v>20389</v>
      </c>
      <c r="J85">
        <v>0</v>
      </c>
      <c r="K85">
        <v>118</v>
      </c>
      <c r="L85">
        <v>47244</v>
      </c>
      <c r="M85">
        <v>40935</v>
      </c>
      <c r="N85" s="1">
        <v>0.49823355093173599</v>
      </c>
      <c r="O85" s="1">
        <v>0.43169906035455535</v>
      </c>
      <c r="P85" s="1">
        <v>5.1769999999999997E-2</v>
      </c>
      <c r="Q85">
        <v>0.27664037914184408</v>
      </c>
      <c r="R85">
        <v>0</v>
      </c>
      <c r="S85" t="b">
        <v>1</v>
      </c>
      <c r="T85" t="b">
        <v>0</v>
      </c>
      <c r="V85" s="3"/>
      <c r="X85" s="11">
        <f t="shared" si="8"/>
        <v>100000</v>
      </c>
      <c r="AD85" t="b" cm="1">
        <f t="array" ref="AD85">OR(NOT(ISBLANK(Y85:AB85)))</f>
        <v>0</v>
      </c>
      <c r="AE85" t="b">
        <f t="shared" si="9"/>
        <v>0</v>
      </c>
      <c r="AF85" t="b">
        <f t="shared" si="10"/>
        <v>0</v>
      </c>
      <c r="AG85" t="b">
        <f t="shared" si="11"/>
        <v>0</v>
      </c>
    </row>
    <row r="86" spans="1:33" x14ac:dyDescent="0.25">
      <c r="A86" t="s">
        <v>184</v>
      </c>
      <c r="B86">
        <v>0</v>
      </c>
      <c r="C86">
        <v>0</v>
      </c>
      <c r="D86">
        <v>0</v>
      </c>
      <c r="E86">
        <v>0</v>
      </c>
      <c r="F86">
        <v>26051</v>
      </c>
      <c r="G86">
        <v>23817</v>
      </c>
      <c r="H86">
        <v>23949</v>
      </c>
      <c r="I86">
        <v>26183</v>
      </c>
      <c r="J86">
        <v>0</v>
      </c>
      <c r="K86">
        <v>0</v>
      </c>
      <c r="L86">
        <v>50132</v>
      </c>
      <c r="M86">
        <v>52234</v>
      </c>
      <c r="N86" s="1">
        <v>0.50131999999999999</v>
      </c>
      <c r="O86" s="1">
        <v>0.52234000000000003</v>
      </c>
      <c r="P86" s="1">
        <v>0</v>
      </c>
      <c r="Q86">
        <v>0.40380706753141188</v>
      </c>
      <c r="R86">
        <v>2.5149083911113624E-45</v>
      </c>
      <c r="S86" t="b">
        <v>1</v>
      </c>
      <c r="T86" t="b">
        <v>0</v>
      </c>
      <c r="V86" s="3"/>
      <c r="X86" s="11">
        <f t="shared" si="8"/>
        <v>100000</v>
      </c>
      <c r="AA86" s="4" t="s">
        <v>164</v>
      </c>
      <c r="AD86" t="b" cm="1">
        <f t="array" ref="AD86">OR(NOT(ISBLANK(Y86:AB86)))</f>
        <v>1</v>
      </c>
      <c r="AE86" t="b">
        <f t="shared" si="9"/>
        <v>0</v>
      </c>
      <c r="AF86" t="b">
        <f t="shared" si="10"/>
        <v>0</v>
      </c>
      <c r="AG86" t="b">
        <f t="shared" si="11"/>
        <v>0</v>
      </c>
    </row>
    <row r="87" spans="1:33" x14ac:dyDescent="0.25">
      <c r="A87" t="s">
        <v>102</v>
      </c>
      <c r="B87">
        <v>784</v>
      </c>
      <c r="C87">
        <v>0</v>
      </c>
      <c r="D87">
        <v>4671</v>
      </c>
      <c r="E87">
        <v>4588</v>
      </c>
      <c r="F87">
        <v>15933</v>
      </c>
      <c r="G87">
        <v>28901</v>
      </c>
      <c r="H87">
        <v>29017</v>
      </c>
      <c r="I87">
        <v>16106</v>
      </c>
      <c r="J87">
        <v>784</v>
      </c>
      <c r="K87">
        <v>0</v>
      </c>
      <c r="L87">
        <v>45123</v>
      </c>
      <c r="M87">
        <v>32039</v>
      </c>
      <c r="N87" s="1">
        <v>0.50160632302099895</v>
      </c>
      <c r="O87" s="1">
        <v>0.35615905377013463</v>
      </c>
      <c r="P87" s="1">
        <v>9.2590000000000006E-2</v>
      </c>
      <c r="Q87">
        <v>0.33526479089805827</v>
      </c>
      <c r="R87">
        <v>0</v>
      </c>
      <c r="S87" t="b">
        <v>1</v>
      </c>
      <c r="T87" t="b">
        <v>0</v>
      </c>
      <c r="V87" s="3"/>
      <c r="X87" s="11">
        <f t="shared" si="8"/>
        <v>100000</v>
      </c>
      <c r="AD87" t="b" cm="1">
        <f t="array" ref="AD87">OR(NOT(ISBLANK(Y87:AB87)))</f>
        <v>0</v>
      </c>
      <c r="AE87" t="b">
        <f t="shared" si="9"/>
        <v>1</v>
      </c>
      <c r="AF87" t="b">
        <f t="shared" si="10"/>
        <v>0</v>
      </c>
      <c r="AG87" t="b">
        <f t="shared" si="11"/>
        <v>0</v>
      </c>
    </row>
    <row r="88" spans="1:33" x14ac:dyDescent="0.25">
      <c r="A88" t="s">
        <v>103</v>
      </c>
      <c r="B88">
        <v>0</v>
      </c>
      <c r="C88">
        <v>0</v>
      </c>
      <c r="D88">
        <v>2908</v>
      </c>
      <c r="E88">
        <v>2834</v>
      </c>
      <c r="F88">
        <v>21672</v>
      </c>
      <c r="G88">
        <v>25286</v>
      </c>
      <c r="H88">
        <v>25420</v>
      </c>
      <c r="I88">
        <v>21880</v>
      </c>
      <c r="J88">
        <v>0</v>
      </c>
      <c r="K88">
        <v>0</v>
      </c>
      <c r="L88">
        <v>47300</v>
      </c>
      <c r="M88">
        <v>43552</v>
      </c>
      <c r="N88" s="1">
        <v>0.50181416961955483</v>
      </c>
      <c r="O88" s="1">
        <v>0.46205096649621252</v>
      </c>
      <c r="P88" s="1">
        <v>5.7419999999999999E-2</v>
      </c>
      <c r="Q88">
        <v>0.26529920909956195</v>
      </c>
      <c r="R88">
        <v>4.2489393596793981E-120</v>
      </c>
      <c r="S88" t="b">
        <v>1</v>
      </c>
      <c r="T88" t="b">
        <v>0</v>
      </c>
      <c r="V88" s="3"/>
      <c r="X88" s="11">
        <f t="shared" si="8"/>
        <v>100000</v>
      </c>
      <c r="AD88" t="b" cm="1">
        <f t="array" ref="AD88">OR(NOT(ISBLANK(Y88:AB88)))</f>
        <v>0</v>
      </c>
      <c r="AE88" t="b">
        <f t="shared" si="9"/>
        <v>0</v>
      </c>
      <c r="AF88" t="b">
        <f t="shared" si="10"/>
        <v>0</v>
      </c>
      <c r="AG88" t="b">
        <f t="shared" si="11"/>
        <v>0</v>
      </c>
    </row>
    <row r="89" spans="1:33" x14ac:dyDescent="0.25">
      <c r="A89" t="s">
        <v>104</v>
      </c>
      <c r="B89">
        <v>12</v>
      </c>
      <c r="C89">
        <v>0</v>
      </c>
      <c r="D89">
        <v>32</v>
      </c>
      <c r="E89">
        <v>32</v>
      </c>
      <c r="F89">
        <v>24806</v>
      </c>
      <c r="G89">
        <v>25077</v>
      </c>
      <c r="H89">
        <v>25154</v>
      </c>
      <c r="I89">
        <v>24887</v>
      </c>
      <c r="J89">
        <v>12</v>
      </c>
      <c r="K89">
        <v>1210</v>
      </c>
      <c r="L89">
        <v>50041</v>
      </c>
      <c r="M89">
        <v>49693</v>
      </c>
      <c r="N89" s="1">
        <v>0.50079060085665106</v>
      </c>
      <c r="O89" s="1">
        <v>0.49730795404507427</v>
      </c>
      <c r="P89" s="1">
        <v>6.4000000000000005E-4</v>
      </c>
      <c r="Q89">
        <v>0.61719489618961276</v>
      </c>
      <c r="R89">
        <v>8.8764320573071001E-2</v>
      </c>
      <c r="S89" t="b">
        <v>1</v>
      </c>
      <c r="T89" t="b">
        <v>1</v>
      </c>
      <c r="V89" s="3"/>
      <c r="X89" s="11">
        <f t="shared" si="8"/>
        <v>100000</v>
      </c>
      <c r="Y89" s="4" t="s">
        <v>166</v>
      </c>
      <c r="AD89" t="b" cm="1">
        <f t="array" ref="AD89">OR(NOT(ISBLANK(Y89:AB89)))</f>
        <v>1</v>
      </c>
      <c r="AE89" t="b">
        <f t="shared" si="9"/>
        <v>0</v>
      </c>
      <c r="AF89" t="b">
        <f t="shared" si="10"/>
        <v>0</v>
      </c>
      <c r="AG89" t="b">
        <f t="shared" si="11"/>
        <v>1</v>
      </c>
    </row>
    <row r="90" spans="1:33" x14ac:dyDescent="0.25">
      <c r="A90" t="s">
        <v>105</v>
      </c>
      <c r="B90">
        <v>130</v>
      </c>
      <c r="C90">
        <v>0</v>
      </c>
      <c r="D90">
        <v>7</v>
      </c>
      <c r="E90">
        <v>4</v>
      </c>
      <c r="F90">
        <v>31636</v>
      </c>
      <c r="G90">
        <v>18275</v>
      </c>
      <c r="H90">
        <v>18295</v>
      </c>
      <c r="I90">
        <v>31653</v>
      </c>
      <c r="J90">
        <v>130</v>
      </c>
      <c r="K90">
        <v>9</v>
      </c>
      <c r="L90">
        <v>49948</v>
      </c>
      <c r="M90">
        <v>63289</v>
      </c>
      <c r="N90" s="1">
        <v>0.50018526121831786</v>
      </c>
      <c r="O90" s="1">
        <v>0.63378363492524459</v>
      </c>
      <c r="P90" s="1">
        <v>1.1E-4</v>
      </c>
      <c r="Q90">
        <v>0.90679123120897132</v>
      </c>
      <c r="R90">
        <v>0</v>
      </c>
      <c r="S90" t="b">
        <v>1</v>
      </c>
      <c r="T90" t="b">
        <v>0</v>
      </c>
      <c r="V90" s="3"/>
      <c r="X90" s="11">
        <f t="shared" si="8"/>
        <v>100000</v>
      </c>
      <c r="AD90" t="b" cm="1">
        <f t="array" ref="AD90">OR(NOT(ISBLANK(Y90:AB90)))</f>
        <v>0</v>
      </c>
      <c r="AE90" t="b">
        <f t="shared" si="9"/>
        <v>1</v>
      </c>
      <c r="AF90" t="b">
        <f t="shared" si="10"/>
        <v>0</v>
      </c>
      <c r="AG90" t="b">
        <f t="shared" si="11"/>
        <v>0</v>
      </c>
    </row>
    <row r="91" spans="1:33" x14ac:dyDescent="0.25">
      <c r="A91" t="s">
        <v>106</v>
      </c>
      <c r="B91">
        <v>0</v>
      </c>
      <c r="C91">
        <v>3409</v>
      </c>
      <c r="D91">
        <v>0</v>
      </c>
      <c r="E91">
        <v>0</v>
      </c>
      <c r="F91">
        <v>23814</v>
      </c>
      <c r="G91">
        <v>24336</v>
      </c>
      <c r="H91">
        <v>24486</v>
      </c>
      <c r="I91">
        <v>23955</v>
      </c>
      <c r="J91">
        <v>3409</v>
      </c>
      <c r="K91">
        <v>288</v>
      </c>
      <c r="L91">
        <v>48441</v>
      </c>
      <c r="M91">
        <v>47769</v>
      </c>
      <c r="N91" s="1">
        <v>0.50150635152343381</v>
      </c>
      <c r="O91" s="1">
        <v>0.49454918160077027</v>
      </c>
      <c r="P91" s="1">
        <v>0</v>
      </c>
      <c r="Q91">
        <v>0.3491080567779587</v>
      </c>
      <c r="R91">
        <v>7.0370953253379599E-4</v>
      </c>
      <c r="S91" t="b">
        <v>1</v>
      </c>
      <c r="T91" t="b">
        <v>0</v>
      </c>
      <c r="V91" s="3"/>
      <c r="X91" s="11">
        <f t="shared" si="8"/>
        <v>100000</v>
      </c>
      <c r="AD91" t="b" cm="1">
        <f t="array" ref="AD91">OR(NOT(ISBLANK(Y91:AB91)))</f>
        <v>0</v>
      </c>
      <c r="AE91" t="b">
        <f t="shared" si="9"/>
        <v>0</v>
      </c>
      <c r="AF91" t="b">
        <f t="shared" si="10"/>
        <v>0</v>
      </c>
      <c r="AG91" t="b">
        <f t="shared" si="11"/>
        <v>0</v>
      </c>
    </row>
    <row r="92" spans="1:33" x14ac:dyDescent="0.25">
      <c r="A92" t="s">
        <v>107</v>
      </c>
      <c r="B92">
        <v>0</v>
      </c>
      <c r="C92">
        <v>0</v>
      </c>
      <c r="D92">
        <v>5289</v>
      </c>
      <c r="E92">
        <v>5274</v>
      </c>
      <c r="F92">
        <v>24199</v>
      </c>
      <c r="G92">
        <v>20538</v>
      </c>
      <c r="H92">
        <v>20512</v>
      </c>
      <c r="I92">
        <v>24188</v>
      </c>
      <c r="J92">
        <v>0</v>
      </c>
      <c r="K92">
        <v>381</v>
      </c>
      <c r="L92">
        <v>44700</v>
      </c>
      <c r="M92">
        <v>48387</v>
      </c>
      <c r="N92" s="1">
        <v>0.49979315048581685</v>
      </c>
      <c r="O92" s="1">
        <v>0.54101769960978119</v>
      </c>
      <c r="P92" s="1">
        <v>0.10563</v>
      </c>
      <c r="Q92">
        <v>0.90153625354363442</v>
      </c>
      <c r="R92">
        <v>6.4848517354835839E-133</v>
      </c>
      <c r="S92" t="b">
        <v>1</v>
      </c>
      <c r="T92" t="b">
        <v>0</v>
      </c>
      <c r="V92" s="3"/>
      <c r="X92" s="11">
        <f t="shared" si="8"/>
        <v>100000</v>
      </c>
      <c r="AD92" t="b" cm="1">
        <f t="array" ref="AD92">OR(NOT(ISBLANK(Y92:AB92)))</f>
        <v>0</v>
      </c>
      <c r="AE92" t="b">
        <f t="shared" si="9"/>
        <v>1</v>
      </c>
      <c r="AF92" t="b">
        <f t="shared" si="10"/>
        <v>0</v>
      </c>
      <c r="AG92" t="b">
        <f t="shared" si="11"/>
        <v>0</v>
      </c>
    </row>
    <row r="93" spans="1:33" x14ac:dyDescent="0.25">
      <c r="A93" s="12" t="s">
        <v>108</v>
      </c>
      <c r="B93">
        <v>0</v>
      </c>
      <c r="C93">
        <v>0</v>
      </c>
      <c r="D93">
        <v>8749</v>
      </c>
      <c r="E93">
        <v>8780</v>
      </c>
      <c r="F93">
        <v>20787</v>
      </c>
      <c r="G93">
        <v>20307</v>
      </c>
      <c r="H93">
        <v>20464</v>
      </c>
      <c r="I93">
        <v>20913</v>
      </c>
      <c r="J93">
        <v>0</v>
      </c>
      <c r="K93">
        <v>0</v>
      </c>
      <c r="L93">
        <v>41377</v>
      </c>
      <c r="M93">
        <v>41700</v>
      </c>
      <c r="N93" s="1">
        <v>0.50171575462889983</v>
      </c>
      <c r="O93" s="1">
        <v>0.50563228286306705</v>
      </c>
      <c r="P93" s="1">
        <v>0.17529</v>
      </c>
      <c r="Q93">
        <v>0.32440173037065245</v>
      </c>
      <c r="R93">
        <v>1.2167193387981948E-3</v>
      </c>
      <c r="S93" t="b">
        <v>1</v>
      </c>
      <c r="T93" t="b">
        <v>0</v>
      </c>
      <c r="V93" s="3"/>
      <c r="X93" s="11">
        <f t="shared" si="8"/>
        <v>100000</v>
      </c>
      <c r="AD93" t="b" cm="1">
        <f t="array" ref="AD93">OR(NOT(ISBLANK(Y93:AB93)))</f>
        <v>0</v>
      </c>
      <c r="AE93" t="b">
        <f t="shared" si="9"/>
        <v>1</v>
      </c>
      <c r="AF93" t="b">
        <f t="shared" si="10"/>
        <v>0</v>
      </c>
      <c r="AG93" t="b">
        <v>0</v>
      </c>
    </row>
    <row r="94" spans="1:33" x14ac:dyDescent="0.25">
      <c r="A94" s="12" t="s">
        <v>109</v>
      </c>
      <c r="B94">
        <v>251</v>
      </c>
      <c r="C94">
        <v>0</v>
      </c>
      <c r="D94">
        <v>13703</v>
      </c>
      <c r="E94">
        <v>13687</v>
      </c>
      <c r="F94">
        <v>18151</v>
      </c>
      <c r="G94">
        <v>18123</v>
      </c>
      <c r="H94">
        <v>18008</v>
      </c>
      <c r="I94">
        <v>18077</v>
      </c>
      <c r="J94">
        <v>251</v>
      </c>
      <c r="K94">
        <v>0</v>
      </c>
      <c r="L94">
        <v>36085</v>
      </c>
      <c r="M94">
        <v>36228</v>
      </c>
      <c r="N94" s="1">
        <v>0.49869401180226369</v>
      </c>
      <c r="O94" s="1">
        <v>0.50067026907502865</v>
      </c>
      <c r="P94" s="1">
        <v>0.27389999999999998</v>
      </c>
      <c r="Q94">
        <v>0.48229761927241044</v>
      </c>
      <c r="R94">
        <v>0.71839865461404351</v>
      </c>
      <c r="S94" t="b">
        <v>1</v>
      </c>
      <c r="T94" t="b">
        <v>1</v>
      </c>
      <c r="V94" s="3"/>
      <c r="X94" s="11">
        <f t="shared" si="8"/>
        <v>100000</v>
      </c>
      <c r="AD94" t="b" cm="1">
        <f t="array" ref="AD94">OR(NOT(ISBLANK(Y94:AB94)))</f>
        <v>0</v>
      </c>
      <c r="AE94" t="b">
        <f t="shared" si="9"/>
        <v>1</v>
      </c>
      <c r="AF94" t="b">
        <f t="shared" si="10"/>
        <v>0</v>
      </c>
      <c r="AG94" t="b">
        <v>0</v>
      </c>
    </row>
    <row r="95" spans="1:33" x14ac:dyDescent="0.25">
      <c r="A95" s="12" t="s">
        <v>110</v>
      </c>
      <c r="B95">
        <v>1104</v>
      </c>
      <c r="C95">
        <v>0</v>
      </c>
      <c r="D95">
        <v>3088</v>
      </c>
      <c r="E95">
        <v>3211</v>
      </c>
      <c r="F95">
        <v>22753</v>
      </c>
      <c r="G95">
        <v>23516</v>
      </c>
      <c r="H95">
        <v>23597</v>
      </c>
      <c r="I95">
        <v>22731</v>
      </c>
      <c r="J95">
        <v>1104</v>
      </c>
      <c r="K95">
        <v>0</v>
      </c>
      <c r="L95">
        <v>46328</v>
      </c>
      <c r="M95">
        <v>45484</v>
      </c>
      <c r="N95" s="1">
        <v>0.50031858483536185</v>
      </c>
      <c r="O95" s="1">
        <v>0.49120381869822999</v>
      </c>
      <c r="P95" s="1">
        <v>6.2990000000000004E-2</v>
      </c>
      <c r="Q95">
        <v>0.84626266320890675</v>
      </c>
      <c r="R95">
        <v>8.635833905128317E-8</v>
      </c>
      <c r="S95" t="b">
        <v>1</v>
      </c>
      <c r="T95" t="b">
        <v>0</v>
      </c>
      <c r="V95" s="3"/>
      <c r="X95" s="11">
        <f t="shared" si="8"/>
        <v>100000</v>
      </c>
      <c r="AD95" t="b" cm="1">
        <f t="array" ref="AD95">OR(NOT(ISBLANK(Y95:AB95)))</f>
        <v>0</v>
      </c>
      <c r="AE95" t="b">
        <f t="shared" si="9"/>
        <v>0</v>
      </c>
      <c r="AF95" t="b">
        <f t="shared" si="10"/>
        <v>0</v>
      </c>
      <c r="AG95" t="b">
        <v>0</v>
      </c>
    </row>
    <row r="96" spans="1:33" x14ac:dyDescent="0.25">
      <c r="A96" t="s">
        <v>112</v>
      </c>
      <c r="B96">
        <v>0</v>
      </c>
      <c r="C96">
        <v>0</v>
      </c>
      <c r="D96">
        <v>4736</v>
      </c>
      <c r="E96">
        <v>4643</v>
      </c>
      <c r="F96">
        <v>24650</v>
      </c>
      <c r="G96">
        <v>20840</v>
      </c>
      <c r="H96">
        <v>20614</v>
      </c>
      <c r="I96">
        <v>24517</v>
      </c>
      <c r="J96">
        <v>0</v>
      </c>
      <c r="K96">
        <v>0</v>
      </c>
      <c r="L96">
        <v>45131</v>
      </c>
      <c r="M96">
        <v>49167</v>
      </c>
      <c r="N96" s="1">
        <v>0.49801922291742534</v>
      </c>
      <c r="O96" s="1">
        <v>0.54255636110835237</v>
      </c>
      <c r="P96" s="1">
        <v>9.3789999999999998E-2</v>
      </c>
      <c r="Q96">
        <v>0.23304197062170837</v>
      </c>
      <c r="R96">
        <v>8.7309527823860254E-145</v>
      </c>
      <c r="S96" t="b">
        <v>1</v>
      </c>
      <c r="T96" t="b">
        <v>0</v>
      </c>
      <c r="V96" s="3"/>
      <c r="X96" s="11">
        <f t="shared" si="8"/>
        <v>100000</v>
      </c>
      <c r="AD96" t="b" cm="1">
        <f t="array" ref="AD96">OR(NOT(ISBLANK(Y96:AB96)))</f>
        <v>0</v>
      </c>
      <c r="AE96" t="b">
        <f t="shared" si="9"/>
        <v>0</v>
      </c>
      <c r="AF96" t="b">
        <f t="shared" si="10"/>
        <v>0</v>
      </c>
      <c r="AG96" t="b">
        <f t="shared" ref="AG96:AG142" si="12">OR(AND(Q96&lt;=0.15, Q96&gt;0.001), AND(R96&lt;=0.15, R96&gt;0.001))</f>
        <v>0</v>
      </c>
    </row>
    <row r="97" spans="1:34" x14ac:dyDescent="0.25">
      <c r="A97" t="s">
        <v>111</v>
      </c>
      <c r="B97">
        <v>0</v>
      </c>
      <c r="C97">
        <v>699</v>
      </c>
      <c r="D97">
        <v>0</v>
      </c>
      <c r="E97">
        <v>0</v>
      </c>
      <c r="F97">
        <v>49312</v>
      </c>
      <c r="G97">
        <v>50623</v>
      </c>
      <c r="H97">
        <v>50361</v>
      </c>
      <c r="I97">
        <v>49005</v>
      </c>
      <c r="J97">
        <v>699</v>
      </c>
      <c r="K97">
        <v>445</v>
      </c>
      <c r="L97">
        <v>99366</v>
      </c>
      <c r="M97">
        <v>98317</v>
      </c>
      <c r="N97" s="1">
        <v>0.49857251092568527</v>
      </c>
      <c r="O97" s="1">
        <v>0.49330911535817684</v>
      </c>
      <c r="P97" s="1">
        <v>0</v>
      </c>
      <c r="Q97">
        <v>0.20246788873896665</v>
      </c>
      <c r="R97">
        <v>2.3144607192115461E-9</v>
      </c>
      <c r="S97" t="b">
        <v>1</v>
      </c>
      <c r="T97" t="b">
        <v>0</v>
      </c>
      <c r="V97" s="3"/>
      <c r="X97" s="11">
        <f t="shared" si="8"/>
        <v>200000</v>
      </c>
      <c r="AD97" t="b" cm="1">
        <f t="array" ref="AD97">OR(NOT(ISBLANK(Y97:AB97)))</f>
        <v>0</v>
      </c>
      <c r="AE97" t="b">
        <f t="shared" si="9"/>
        <v>0</v>
      </c>
      <c r="AF97" t="b">
        <f t="shared" si="10"/>
        <v>0</v>
      </c>
      <c r="AG97" t="b">
        <f t="shared" si="12"/>
        <v>0</v>
      </c>
    </row>
    <row r="98" spans="1:34" x14ac:dyDescent="0.25">
      <c r="A98" t="s">
        <v>113</v>
      </c>
      <c r="B98">
        <v>0</v>
      </c>
      <c r="C98">
        <v>348</v>
      </c>
      <c r="D98">
        <v>0</v>
      </c>
      <c r="E98">
        <v>0</v>
      </c>
      <c r="F98">
        <v>23824</v>
      </c>
      <c r="G98">
        <v>26071</v>
      </c>
      <c r="H98">
        <v>26016</v>
      </c>
      <c r="I98">
        <v>23741</v>
      </c>
      <c r="J98">
        <v>348</v>
      </c>
      <c r="K98">
        <v>82</v>
      </c>
      <c r="L98">
        <v>49757</v>
      </c>
      <c r="M98">
        <v>47565</v>
      </c>
      <c r="N98" s="1">
        <v>0.49930759041464295</v>
      </c>
      <c r="O98" s="1">
        <v>0.47731104242764821</v>
      </c>
      <c r="P98" s="1">
        <v>0</v>
      </c>
      <c r="Q98">
        <v>0.66199848479982715</v>
      </c>
      <c r="R98">
        <v>1.5324250820558901E-46</v>
      </c>
      <c r="S98" t="b">
        <v>1</v>
      </c>
      <c r="T98" t="b">
        <v>0</v>
      </c>
      <c r="V98" s="3"/>
      <c r="X98" s="11">
        <f t="shared" ref="X98:X129" si="13">SUM(B98:I98)</f>
        <v>100000</v>
      </c>
      <c r="AD98" t="b" cm="1">
        <f t="array" ref="AD98">OR(NOT(ISBLANK(Y98:AB98)))</f>
        <v>0</v>
      </c>
      <c r="AE98" t="b">
        <f t="shared" ref="AE98:AE129" si="14">OR(NOT(S98),AND(Q98&gt;0.05, Q98&lt;0.15), P98&gt;0.1,O98&gt;0.6, O98&lt;0.4,L98&lt;8000,(C98/X98)&gt;0.05, (B98/X98)&gt;0.05)</f>
        <v>0</v>
      </c>
      <c r="AF98" t="b">
        <f t="shared" ref="AF98:AF129" si="15">OR(NOT(S98), AND(Q98&gt;0.05, Q98&lt;0.15), L98&lt;8000,(C98/X98)&gt;0.05, (B98/X98)&gt;0.05)</f>
        <v>0</v>
      </c>
      <c r="AG98" t="b">
        <f t="shared" si="12"/>
        <v>0</v>
      </c>
    </row>
    <row r="99" spans="1:34" x14ac:dyDescent="0.25">
      <c r="A99" t="s">
        <v>114</v>
      </c>
      <c r="B99">
        <v>11</v>
      </c>
      <c r="C99">
        <v>22</v>
      </c>
      <c r="D99">
        <v>175</v>
      </c>
      <c r="E99">
        <v>184</v>
      </c>
      <c r="F99">
        <v>22183</v>
      </c>
      <c r="G99">
        <v>27655</v>
      </c>
      <c r="H99">
        <v>27626</v>
      </c>
      <c r="I99">
        <v>22144</v>
      </c>
      <c r="J99">
        <v>33</v>
      </c>
      <c r="K99">
        <v>18</v>
      </c>
      <c r="L99">
        <v>49770</v>
      </c>
      <c r="M99">
        <v>44327</v>
      </c>
      <c r="N99" s="1">
        <v>0.49965866195486308</v>
      </c>
      <c r="O99" s="1">
        <v>0.445014456670147</v>
      </c>
      <c r="P99" s="1">
        <v>3.5899999999999999E-3</v>
      </c>
      <c r="Q99">
        <v>0.82941057192122036</v>
      </c>
      <c r="R99">
        <v>6.0329858788246486E-264</v>
      </c>
      <c r="S99" t="b">
        <v>1</v>
      </c>
      <c r="T99" t="b">
        <v>0</v>
      </c>
      <c r="V99" s="3"/>
      <c r="X99" s="11">
        <f t="shared" si="13"/>
        <v>100000</v>
      </c>
      <c r="AD99" t="b" cm="1">
        <f t="array" ref="AD99">OR(NOT(ISBLANK(Y99:AB99)))</f>
        <v>0</v>
      </c>
      <c r="AE99" t="b">
        <f t="shared" si="14"/>
        <v>0</v>
      </c>
      <c r="AF99" t="b">
        <f t="shared" si="15"/>
        <v>0</v>
      </c>
      <c r="AG99" t="b">
        <f t="shared" si="12"/>
        <v>0</v>
      </c>
    </row>
    <row r="100" spans="1:34" x14ac:dyDescent="0.25">
      <c r="A100" t="s">
        <v>115</v>
      </c>
      <c r="B100">
        <v>0</v>
      </c>
      <c r="C100">
        <v>0</v>
      </c>
      <c r="D100">
        <v>0</v>
      </c>
      <c r="E100">
        <v>0</v>
      </c>
      <c r="F100">
        <v>25110</v>
      </c>
      <c r="G100">
        <v>24714</v>
      </c>
      <c r="H100">
        <v>24890</v>
      </c>
      <c r="I100">
        <v>25286</v>
      </c>
      <c r="J100">
        <v>0</v>
      </c>
      <c r="K100">
        <v>0</v>
      </c>
      <c r="L100">
        <v>50176</v>
      </c>
      <c r="M100">
        <v>50396</v>
      </c>
      <c r="N100" s="1">
        <v>0.50175999999999998</v>
      </c>
      <c r="O100" s="1">
        <v>0.50395999999999996</v>
      </c>
      <c r="P100" s="1">
        <v>0</v>
      </c>
      <c r="Q100">
        <v>0.26565614946850813</v>
      </c>
      <c r="R100">
        <v>1.2261631842860572E-2</v>
      </c>
      <c r="S100" t="b">
        <v>1</v>
      </c>
      <c r="T100" t="b">
        <v>0</v>
      </c>
      <c r="V100" s="3"/>
      <c r="X100" s="11">
        <f t="shared" si="13"/>
        <v>100000</v>
      </c>
      <c r="Y100" s="4" t="s">
        <v>166</v>
      </c>
      <c r="AD100" t="b" cm="1">
        <f t="array" ref="AD100">OR(NOT(ISBLANK(Y100:AB100)))</f>
        <v>1</v>
      </c>
      <c r="AE100" t="b">
        <f t="shared" si="14"/>
        <v>0</v>
      </c>
      <c r="AF100" t="b">
        <f t="shared" si="15"/>
        <v>0</v>
      </c>
      <c r="AG100" t="b">
        <f t="shared" si="12"/>
        <v>1</v>
      </c>
    </row>
    <row r="101" spans="1:34" x14ac:dyDescent="0.25">
      <c r="A101" t="s">
        <v>116</v>
      </c>
      <c r="B101">
        <v>0</v>
      </c>
      <c r="C101">
        <v>787</v>
      </c>
      <c r="D101">
        <v>0</v>
      </c>
      <c r="E101">
        <v>0</v>
      </c>
      <c r="F101">
        <v>39778</v>
      </c>
      <c r="G101">
        <v>39624</v>
      </c>
      <c r="H101">
        <v>39828</v>
      </c>
      <c r="I101">
        <v>39983</v>
      </c>
      <c r="J101">
        <v>787</v>
      </c>
      <c r="K101">
        <v>245</v>
      </c>
      <c r="L101">
        <v>79811</v>
      </c>
      <c r="M101">
        <v>79761</v>
      </c>
      <c r="N101" s="1">
        <v>0.50128444285328455</v>
      </c>
      <c r="O101" s="1">
        <v>0.50097039814588007</v>
      </c>
      <c r="P101" s="1">
        <v>0</v>
      </c>
      <c r="Q101">
        <v>0.30535185122260056</v>
      </c>
      <c r="R101">
        <v>0.43869020171710787</v>
      </c>
      <c r="S101" t="b">
        <v>1</v>
      </c>
      <c r="T101" t="b">
        <v>1</v>
      </c>
      <c r="V101" s="3"/>
      <c r="X101" s="11">
        <f t="shared" si="13"/>
        <v>160000</v>
      </c>
      <c r="Y101" s="4" t="s">
        <v>177</v>
      </c>
      <c r="AD101" t="b" cm="1">
        <f t="array" ref="AD101">OR(NOT(ISBLANK(Y101:AB101)))</f>
        <v>1</v>
      </c>
      <c r="AE101" t="b">
        <f t="shared" si="14"/>
        <v>0</v>
      </c>
      <c r="AF101" t="b">
        <f t="shared" si="15"/>
        <v>0</v>
      </c>
      <c r="AG101" t="b">
        <f t="shared" si="12"/>
        <v>0</v>
      </c>
      <c r="AH101" t="s">
        <v>182</v>
      </c>
    </row>
    <row r="102" spans="1:34" x14ac:dyDescent="0.25">
      <c r="A102" t="s">
        <v>117</v>
      </c>
      <c r="B102">
        <v>0</v>
      </c>
      <c r="C102">
        <v>0</v>
      </c>
      <c r="D102">
        <v>2197</v>
      </c>
      <c r="E102">
        <v>2125</v>
      </c>
      <c r="F102">
        <v>50358</v>
      </c>
      <c r="G102">
        <v>47095</v>
      </c>
      <c r="H102">
        <v>47445</v>
      </c>
      <c r="I102">
        <v>50780</v>
      </c>
      <c r="J102">
        <v>0</v>
      </c>
      <c r="K102">
        <v>404</v>
      </c>
      <c r="L102">
        <v>98225</v>
      </c>
      <c r="M102">
        <v>101138</v>
      </c>
      <c r="N102" s="1">
        <v>0.50197262850192659</v>
      </c>
      <c r="O102" s="1">
        <v>0.51685933012397922</v>
      </c>
      <c r="P102" s="1">
        <v>2.1610000000000001E-2</v>
      </c>
      <c r="Q102">
        <v>8.0949295158554702E-2</v>
      </c>
      <c r="R102">
        <v>2.6084305119683916E-50</v>
      </c>
      <c r="S102" t="b">
        <v>1</v>
      </c>
      <c r="T102" t="b">
        <v>0</v>
      </c>
      <c r="V102" s="3"/>
      <c r="X102" s="11">
        <f t="shared" si="13"/>
        <v>200000</v>
      </c>
      <c r="Z102" s="4" t="s">
        <v>159</v>
      </c>
      <c r="AD102" t="b" cm="1">
        <f t="array" ref="AD102">OR(NOT(ISBLANK(Y102:AB102)))</f>
        <v>1</v>
      </c>
      <c r="AE102" t="b">
        <f t="shared" si="14"/>
        <v>1</v>
      </c>
      <c r="AF102" t="b">
        <f t="shared" si="15"/>
        <v>1</v>
      </c>
      <c r="AG102" t="b">
        <f t="shared" si="12"/>
        <v>1</v>
      </c>
    </row>
    <row r="103" spans="1:34" x14ac:dyDescent="0.25">
      <c r="A103" t="s">
        <v>118</v>
      </c>
      <c r="B103">
        <v>150</v>
      </c>
      <c r="C103">
        <v>0</v>
      </c>
      <c r="D103">
        <v>2758</v>
      </c>
      <c r="E103">
        <v>2688</v>
      </c>
      <c r="F103">
        <v>21680</v>
      </c>
      <c r="G103">
        <v>25666</v>
      </c>
      <c r="H103">
        <v>25475</v>
      </c>
      <c r="I103">
        <v>21583</v>
      </c>
      <c r="J103">
        <v>150</v>
      </c>
      <c r="K103">
        <v>0</v>
      </c>
      <c r="L103">
        <v>47058</v>
      </c>
      <c r="M103">
        <v>43263</v>
      </c>
      <c r="N103" s="1">
        <v>0.4984746409050464</v>
      </c>
      <c r="O103" s="1">
        <v>0.45827507309012327</v>
      </c>
      <c r="P103" s="1">
        <v>5.4460000000000001E-2</v>
      </c>
      <c r="Q103">
        <v>0.34858353912466422</v>
      </c>
      <c r="R103">
        <v>5.4433658560741681E-145</v>
      </c>
      <c r="S103" t="b">
        <v>1</v>
      </c>
      <c r="T103" t="b">
        <v>0</v>
      </c>
      <c r="V103" s="3"/>
      <c r="X103" s="11">
        <f t="shared" si="13"/>
        <v>100000</v>
      </c>
      <c r="AD103" t="b" cm="1">
        <f t="array" ref="AD103">OR(NOT(ISBLANK(Y103:AB103)))</f>
        <v>0</v>
      </c>
      <c r="AE103" t="b">
        <f t="shared" si="14"/>
        <v>0</v>
      </c>
      <c r="AF103" t="b">
        <f t="shared" si="15"/>
        <v>0</v>
      </c>
      <c r="AG103" t="b">
        <f t="shared" si="12"/>
        <v>0</v>
      </c>
    </row>
    <row r="104" spans="1:34" x14ac:dyDescent="0.25">
      <c r="A104" t="s">
        <v>119</v>
      </c>
      <c r="B104">
        <v>19</v>
      </c>
      <c r="C104">
        <v>0</v>
      </c>
      <c r="D104">
        <v>1021</v>
      </c>
      <c r="E104">
        <v>1040</v>
      </c>
      <c r="F104">
        <v>24798</v>
      </c>
      <c r="G104">
        <v>24150</v>
      </c>
      <c r="H104">
        <v>24171</v>
      </c>
      <c r="I104">
        <v>24801</v>
      </c>
      <c r="J104">
        <v>19</v>
      </c>
      <c r="K104">
        <v>0</v>
      </c>
      <c r="L104">
        <v>48972</v>
      </c>
      <c r="M104">
        <v>49599</v>
      </c>
      <c r="N104" s="1">
        <v>0.50012254901960784</v>
      </c>
      <c r="O104" s="1">
        <v>0.5065257352941176</v>
      </c>
      <c r="P104" s="1">
        <v>2.061E-2</v>
      </c>
      <c r="Q104">
        <v>0.93886498982377531</v>
      </c>
      <c r="R104">
        <v>4.4250152784467591E-5</v>
      </c>
      <c r="S104" t="b">
        <v>1</v>
      </c>
      <c r="T104" t="b">
        <v>0</v>
      </c>
      <c r="V104" s="3"/>
      <c r="X104" s="11">
        <f t="shared" si="13"/>
        <v>100000</v>
      </c>
      <c r="AD104" t="b" cm="1">
        <f t="array" ref="AD104">OR(NOT(ISBLANK(Y104:AB104)))</f>
        <v>0</v>
      </c>
      <c r="AE104" t="b">
        <f t="shared" si="14"/>
        <v>0</v>
      </c>
      <c r="AF104" t="b">
        <f t="shared" si="15"/>
        <v>0</v>
      </c>
      <c r="AG104" t="b">
        <f t="shared" si="12"/>
        <v>0</v>
      </c>
    </row>
    <row r="105" spans="1:34" x14ac:dyDescent="0.25">
      <c r="A105" t="s">
        <v>120</v>
      </c>
      <c r="B105">
        <v>13</v>
      </c>
      <c r="C105">
        <v>764</v>
      </c>
      <c r="D105">
        <v>9743</v>
      </c>
      <c r="E105">
        <v>9653</v>
      </c>
      <c r="F105">
        <v>19760</v>
      </c>
      <c r="G105">
        <v>20087</v>
      </c>
      <c r="H105">
        <v>20129</v>
      </c>
      <c r="I105">
        <v>19851</v>
      </c>
      <c r="J105">
        <f>SUM(B105:C105)</f>
        <v>777</v>
      </c>
      <c r="L105">
        <v>39980</v>
      </c>
      <c r="M105">
        <v>39611</v>
      </c>
      <c r="N105" s="1">
        <v>0.50083305147381207</v>
      </c>
      <c r="O105" s="1">
        <v>0.49621055532589226</v>
      </c>
      <c r="P105" s="1">
        <v>0.19395999999999999</v>
      </c>
      <c r="Q105">
        <v>0.63782979605194257</v>
      </c>
      <c r="R105">
        <v>3.2248679553178776E-2</v>
      </c>
      <c r="S105" t="b">
        <v>1</v>
      </c>
      <c r="T105" t="b">
        <v>0</v>
      </c>
      <c r="V105" s="3"/>
      <c r="X105" s="11">
        <f t="shared" si="13"/>
        <v>100000</v>
      </c>
      <c r="AD105" t="b" cm="1">
        <f t="array" ref="AD105">OR(NOT(ISBLANK(Y105:AB105)))</f>
        <v>0</v>
      </c>
      <c r="AE105" t="b">
        <f t="shared" si="14"/>
        <v>1</v>
      </c>
      <c r="AF105" t="b">
        <f t="shared" si="15"/>
        <v>0</v>
      </c>
      <c r="AG105" t="b">
        <f t="shared" si="12"/>
        <v>1</v>
      </c>
    </row>
    <row r="106" spans="1:34" x14ac:dyDescent="0.25">
      <c r="A106" t="s">
        <v>121</v>
      </c>
      <c r="B106">
        <v>1956</v>
      </c>
      <c r="C106">
        <v>0</v>
      </c>
      <c r="D106">
        <v>2320</v>
      </c>
      <c r="E106">
        <v>2348</v>
      </c>
      <c r="F106">
        <v>22407</v>
      </c>
      <c r="G106">
        <v>24172</v>
      </c>
      <c r="H106">
        <v>24268</v>
      </c>
      <c r="I106">
        <v>22529</v>
      </c>
      <c r="J106">
        <v>1956</v>
      </c>
      <c r="K106">
        <v>0</v>
      </c>
      <c r="L106">
        <v>46797</v>
      </c>
      <c r="M106">
        <v>44936</v>
      </c>
      <c r="N106" s="1">
        <v>0.50116732350925286</v>
      </c>
      <c r="O106" s="1">
        <v>0.48123714873200824</v>
      </c>
      <c r="P106" s="1">
        <v>4.6679999999999999E-2</v>
      </c>
      <c r="Q106">
        <v>0.47559242424729214</v>
      </c>
      <c r="R106">
        <v>1.9344039964197577E-30</v>
      </c>
      <c r="S106" t="b">
        <v>1</v>
      </c>
      <c r="T106" t="b">
        <v>0</v>
      </c>
      <c r="V106" s="3"/>
      <c r="X106" s="11">
        <f t="shared" si="13"/>
        <v>100000</v>
      </c>
      <c r="AD106" t="b" cm="1">
        <f t="array" ref="AD106">OR(NOT(ISBLANK(Y106:AB106)))</f>
        <v>0</v>
      </c>
      <c r="AE106" t="b">
        <f t="shared" si="14"/>
        <v>0</v>
      </c>
      <c r="AF106" t="b">
        <f t="shared" si="15"/>
        <v>0</v>
      </c>
      <c r="AG106" t="b">
        <f t="shared" si="12"/>
        <v>0</v>
      </c>
    </row>
    <row r="107" spans="1:34" x14ac:dyDescent="0.25">
      <c r="A107" t="s">
        <v>122</v>
      </c>
      <c r="B107">
        <v>5512</v>
      </c>
      <c r="C107">
        <v>583</v>
      </c>
      <c r="D107">
        <v>7561</v>
      </c>
      <c r="E107">
        <v>7638</v>
      </c>
      <c r="F107">
        <v>67521</v>
      </c>
      <c r="G107">
        <v>71402</v>
      </c>
      <c r="H107">
        <v>71958</v>
      </c>
      <c r="I107">
        <v>67825</v>
      </c>
      <c r="J107">
        <v>6095</v>
      </c>
      <c r="K107">
        <v>0</v>
      </c>
      <c r="L107">
        <v>139783</v>
      </c>
      <c r="M107">
        <v>135346</v>
      </c>
      <c r="N107" s="1">
        <v>0.50154284443104924</v>
      </c>
      <c r="O107" s="1">
        <v>0.48562284270880424</v>
      </c>
      <c r="P107" s="1">
        <v>5.0663333333333331E-2</v>
      </c>
      <c r="Q107">
        <v>0.1033096778122488</v>
      </c>
      <c r="R107">
        <v>4.7865626954805242E-52</v>
      </c>
      <c r="S107" t="b">
        <v>1</v>
      </c>
      <c r="T107" t="b">
        <v>0</v>
      </c>
      <c r="V107" s="3"/>
      <c r="X107" s="11">
        <f t="shared" si="13"/>
        <v>300000</v>
      </c>
      <c r="AD107" t="b" cm="1">
        <f t="array" ref="AD107">OR(NOT(ISBLANK(Y107:AB107)))</f>
        <v>0</v>
      </c>
      <c r="AE107" t="b">
        <f t="shared" si="14"/>
        <v>1</v>
      </c>
      <c r="AF107" t="b">
        <f t="shared" si="15"/>
        <v>1</v>
      </c>
      <c r="AG107" t="b">
        <f t="shared" si="12"/>
        <v>1</v>
      </c>
    </row>
    <row r="108" spans="1:34" x14ac:dyDescent="0.25">
      <c r="A108" t="s">
        <v>123</v>
      </c>
      <c r="B108">
        <v>0</v>
      </c>
      <c r="C108">
        <v>0</v>
      </c>
      <c r="D108">
        <v>617</v>
      </c>
      <c r="E108">
        <v>600</v>
      </c>
      <c r="F108">
        <v>25043</v>
      </c>
      <c r="G108">
        <v>24331</v>
      </c>
      <c r="H108">
        <v>24340</v>
      </c>
      <c r="I108">
        <v>25069</v>
      </c>
      <c r="J108">
        <v>0</v>
      </c>
      <c r="K108">
        <v>40</v>
      </c>
      <c r="L108">
        <v>49409</v>
      </c>
      <c r="M108">
        <v>50112</v>
      </c>
      <c r="N108" s="1">
        <v>0.50017715598837853</v>
      </c>
      <c r="O108" s="1">
        <v>0.50729376512152902</v>
      </c>
      <c r="P108" s="1">
        <v>1.217E-2</v>
      </c>
      <c r="Q108">
        <v>0.91133134240768587</v>
      </c>
      <c r="R108">
        <v>4.5436426929302559E-6</v>
      </c>
      <c r="S108" t="b">
        <v>1</v>
      </c>
      <c r="T108" t="b">
        <v>0</v>
      </c>
      <c r="V108" s="3"/>
      <c r="X108" s="11">
        <f t="shared" si="13"/>
        <v>100000</v>
      </c>
      <c r="Y108" s="4" t="s">
        <v>166</v>
      </c>
      <c r="Z108" s="4" t="s">
        <v>159</v>
      </c>
      <c r="AD108" t="b" cm="1">
        <f t="array" ref="AD108">OR(NOT(ISBLANK(Y108:AB108)))</f>
        <v>1</v>
      </c>
      <c r="AE108" t="b">
        <f t="shared" si="14"/>
        <v>0</v>
      </c>
      <c r="AF108" t="b">
        <f t="shared" si="15"/>
        <v>0</v>
      </c>
      <c r="AG108" t="b">
        <f t="shared" si="12"/>
        <v>0</v>
      </c>
    </row>
    <row r="109" spans="1:34" x14ac:dyDescent="0.25">
      <c r="A109" t="s">
        <v>124</v>
      </c>
      <c r="B109">
        <v>0</v>
      </c>
      <c r="C109">
        <v>678</v>
      </c>
      <c r="D109">
        <v>0</v>
      </c>
      <c r="E109">
        <v>0</v>
      </c>
      <c r="F109">
        <v>25725</v>
      </c>
      <c r="G109">
        <v>23808</v>
      </c>
      <c r="H109">
        <v>23942</v>
      </c>
      <c r="I109">
        <v>25847</v>
      </c>
      <c r="J109">
        <v>678</v>
      </c>
      <c r="K109">
        <v>41</v>
      </c>
      <c r="L109">
        <v>49789</v>
      </c>
      <c r="M109">
        <v>51572</v>
      </c>
      <c r="N109" s="1">
        <v>0.5012887376412074</v>
      </c>
      <c r="O109" s="1">
        <v>0.51924045025271337</v>
      </c>
      <c r="P109" s="1">
        <v>0</v>
      </c>
      <c r="Q109">
        <v>0.41661866934558978</v>
      </c>
      <c r="R109">
        <v>7.5605624483843892E-34</v>
      </c>
      <c r="S109" t="b">
        <v>1</v>
      </c>
      <c r="T109" t="b">
        <v>0</v>
      </c>
      <c r="V109" s="3"/>
      <c r="X109" s="11">
        <f t="shared" si="13"/>
        <v>100000</v>
      </c>
      <c r="AD109" t="b" cm="1">
        <f t="array" ref="AD109">OR(NOT(ISBLANK(Y109:AB109)))</f>
        <v>0</v>
      </c>
      <c r="AE109" t="b">
        <f t="shared" si="14"/>
        <v>0</v>
      </c>
      <c r="AF109" t="b">
        <f t="shared" si="15"/>
        <v>0</v>
      </c>
      <c r="AG109" t="b">
        <f t="shared" si="12"/>
        <v>0</v>
      </c>
    </row>
    <row r="110" spans="1:34" x14ac:dyDescent="0.25">
      <c r="A110" t="s">
        <v>125</v>
      </c>
      <c r="B110">
        <v>0</v>
      </c>
      <c r="C110">
        <v>0</v>
      </c>
      <c r="D110">
        <v>268</v>
      </c>
      <c r="E110">
        <v>242</v>
      </c>
      <c r="F110">
        <v>26004</v>
      </c>
      <c r="G110">
        <v>23779</v>
      </c>
      <c r="H110">
        <v>23728</v>
      </c>
      <c r="I110">
        <v>25979</v>
      </c>
      <c r="J110">
        <v>0</v>
      </c>
      <c r="K110">
        <v>95</v>
      </c>
      <c r="L110">
        <v>49707</v>
      </c>
      <c r="M110">
        <v>51983</v>
      </c>
      <c r="N110" s="1">
        <v>0.49961805206553422</v>
      </c>
      <c r="O110" s="1">
        <v>0.52249472308774747</v>
      </c>
      <c r="P110" s="1">
        <v>5.1000000000000004E-3</v>
      </c>
      <c r="Q110">
        <v>0.80959518224499161</v>
      </c>
      <c r="R110">
        <v>1.0477790217122043E-45</v>
      </c>
      <c r="S110" t="b">
        <v>1</v>
      </c>
      <c r="T110" t="b">
        <v>0</v>
      </c>
      <c r="V110" s="3"/>
      <c r="X110" s="11">
        <f t="shared" si="13"/>
        <v>100000</v>
      </c>
      <c r="Y110" s="4" t="s">
        <v>166</v>
      </c>
      <c r="Z110" s="4" t="s">
        <v>159</v>
      </c>
      <c r="AD110" t="b" cm="1">
        <f t="array" ref="AD110">OR(NOT(ISBLANK(Y110:AB110)))</f>
        <v>1</v>
      </c>
      <c r="AE110" t="b">
        <f t="shared" si="14"/>
        <v>0</v>
      </c>
      <c r="AF110" t="b">
        <f t="shared" si="15"/>
        <v>0</v>
      </c>
      <c r="AG110" t="b">
        <f t="shared" si="12"/>
        <v>0</v>
      </c>
    </row>
    <row r="111" spans="1:34" x14ac:dyDescent="0.25">
      <c r="A111" t="s">
        <v>126</v>
      </c>
      <c r="B111">
        <v>463</v>
      </c>
      <c r="C111">
        <v>27</v>
      </c>
      <c r="D111">
        <v>1262</v>
      </c>
      <c r="E111">
        <v>1205</v>
      </c>
      <c r="F111">
        <v>34105</v>
      </c>
      <c r="G111">
        <v>34654</v>
      </c>
      <c r="H111">
        <v>34380</v>
      </c>
      <c r="I111">
        <v>33904</v>
      </c>
      <c r="J111">
        <v>490</v>
      </c>
      <c r="K111">
        <v>0</v>
      </c>
      <c r="L111">
        <v>68284</v>
      </c>
      <c r="M111">
        <v>68009</v>
      </c>
      <c r="N111" s="1">
        <v>0.49826696730223363</v>
      </c>
      <c r="O111" s="1">
        <v>0.49626029786271464</v>
      </c>
      <c r="P111" s="1">
        <v>1.7621428571428573E-2</v>
      </c>
      <c r="Q111">
        <v>0.19945220434402006</v>
      </c>
      <c r="R111">
        <v>5.6258922197605903E-3</v>
      </c>
      <c r="S111" t="b">
        <v>1</v>
      </c>
      <c r="T111" t="b">
        <v>0</v>
      </c>
      <c r="V111" s="3"/>
      <c r="X111" s="11">
        <f t="shared" si="13"/>
        <v>140000</v>
      </c>
      <c r="AD111" t="b" cm="1">
        <f t="array" ref="AD111">OR(NOT(ISBLANK(Y111:AB111)))</f>
        <v>0</v>
      </c>
      <c r="AE111" t="b">
        <f t="shared" si="14"/>
        <v>0</v>
      </c>
      <c r="AF111" t="b">
        <f t="shared" si="15"/>
        <v>0</v>
      </c>
      <c r="AG111" t="b">
        <f t="shared" si="12"/>
        <v>1</v>
      </c>
    </row>
    <row r="112" spans="1:34" x14ac:dyDescent="0.25">
      <c r="A112" t="s">
        <v>127</v>
      </c>
      <c r="B112">
        <v>0</v>
      </c>
      <c r="C112">
        <v>0</v>
      </c>
      <c r="D112">
        <v>5216</v>
      </c>
      <c r="E112">
        <v>5106</v>
      </c>
      <c r="F112">
        <v>48823</v>
      </c>
      <c r="G112">
        <v>95728</v>
      </c>
      <c r="H112">
        <v>95961</v>
      </c>
      <c r="I112">
        <v>49166</v>
      </c>
      <c r="J112">
        <v>0</v>
      </c>
      <c r="K112">
        <v>1</v>
      </c>
      <c r="L112">
        <v>145127</v>
      </c>
      <c r="M112">
        <v>97989</v>
      </c>
      <c r="N112" s="1">
        <v>0.50099420736127698</v>
      </c>
      <c r="O112" s="1">
        <v>0.3382686983478207</v>
      </c>
      <c r="P112" s="1">
        <v>3.4406666666666669E-2</v>
      </c>
      <c r="Q112">
        <v>0.28452953822260357</v>
      </c>
      <c r="R112">
        <v>0</v>
      </c>
      <c r="S112" t="b">
        <v>1</v>
      </c>
      <c r="T112" t="b">
        <v>0</v>
      </c>
      <c r="V112" s="3"/>
      <c r="X112" s="11">
        <f t="shared" si="13"/>
        <v>300000</v>
      </c>
      <c r="AD112" t="b" cm="1">
        <f t="array" ref="AD112">OR(NOT(ISBLANK(Y112:AB112)))</f>
        <v>0</v>
      </c>
      <c r="AE112" t="b">
        <f t="shared" si="14"/>
        <v>1</v>
      </c>
      <c r="AF112" t="b">
        <f t="shared" si="15"/>
        <v>0</v>
      </c>
      <c r="AG112" t="b">
        <f t="shared" si="12"/>
        <v>0</v>
      </c>
    </row>
    <row r="113" spans="1:33" x14ac:dyDescent="0.25">
      <c r="A113" t="s">
        <v>128</v>
      </c>
      <c r="B113">
        <v>0</v>
      </c>
      <c r="C113">
        <v>0</v>
      </c>
      <c r="D113">
        <v>405</v>
      </c>
      <c r="E113">
        <v>406</v>
      </c>
      <c r="F113">
        <v>24496</v>
      </c>
      <c r="G113">
        <v>25125</v>
      </c>
      <c r="H113">
        <v>25099</v>
      </c>
      <c r="I113">
        <v>24469</v>
      </c>
      <c r="J113">
        <v>0</v>
      </c>
      <c r="K113">
        <v>25</v>
      </c>
      <c r="L113">
        <v>49568</v>
      </c>
      <c r="M113">
        <v>48965</v>
      </c>
      <c r="N113" s="1">
        <v>0.49973283327788365</v>
      </c>
      <c r="O113" s="1">
        <v>0.49365353012934904</v>
      </c>
      <c r="P113" s="1">
        <v>8.1099999999999992E-3</v>
      </c>
      <c r="Q113">
        <v>0.86635946809915287</v>
      </c>
      <c r="R113">
        <v>6.4001301403880016E-5</v>
      </c>
      <c r="S113" t="b">
        <v>1</v>
      </c>
      <c r="T113" t="b">
        <v>0</v>
      </c>
      <c r="V113" s="3"/>
      <c r="X113" s="11">
        <f t="shared" si="13"/>
        <v>100000</v>
      </c>
      <c r="Y113" s="4" t="s">
        <v>166</v>
      </c>
      <c r="Z113" s="4" t="s">
        <v>159</v>
      </c>
      <c r="AD113" t="b" cm="1">
        <f t="array" ref="AD113">OR(NOT(ISBLANK(Y113:AB113)))</f>
        <v>1</v>
      </c>
      <c r="AE113" t="b">
        <f t="shared" si="14"/>
        <v>0</v>
      </c>
      <c r="AF113" t="b">
        <f t="shared" si="15"/>
        <v>0</v>
      </c>
      <c r="AG113" t="b">
        <f t="shared" si="12"/>
        <v>0</v>
      </c>
    </row>
    <row r="114" spans="1:33" x14ac:dyDescent="0.25">
      <c r="A114" t="s">
        <v>129</v>
      </c>
      <c r="B114">
        <v>0</v>
      </c>
      <c r="C114">
        <v>0</v>
      </c>
      <c r="D114">
        <v>0</v>
      </c>
      <c r="E114">
        <v>0</v>
      </c>
      <c r="F114">
        <v>25226</v>
      </c>
      <c r="G114">
        <v>24840</v>
      </c>
      <c r="H114">
        <v>24774</v>
      </c>
      <c r="I114">
        <v>25160</v>
      </c>
      <c r="J114">
        <v>0</v>
      </c>
      <c r="K114">
        <v>0</v>
      </c>
      <c r="L114">
        <v>49934</v>
      </c>
      <c r="M114">
        <v>50386</v>
      </c>
      <c r="N114" s="1">
        <v>0.49934000000000001</v>
      </c>
      <c r="O114" s="1">
        <v>0.50385999999999997</v>
      </c>
      <c r="P114" s="1">
        <v>0</v>
      </c>
      <c r="Q114">
        <v>0.67637075233402577</v>
      </c>
      <c r="R114">
        <v>1.463536924276364E-2</v>
      </c>
      <c r="S114" t="b">
        <v>1</v>
      </c>
      <c r="T114" t="b">
        <v>0</v>
      </c>
      <c r="V114" s="3"/>
      <c r="X114" s="11">
        <f t="shared" si="13"/>
        <v>100000</v>
      </c>
      <c r="AD114" t="b" cm="1">
        <f t="array" ref="AD114">OR(NOT(ISBLANK(Y114:AB114)))</f>
        <v>0</v>
      </c>
      <c r="AE114" t="b">
        <f t="shared" si="14"/>
        <v>0</v>
      </c>
      <c r="AF114" t="b">
        <f t="shared" si="15"/>
        <v>0</v>
      </c>
      <c r="AG114" t="b">
        <f t="shared" si="12"/>
        <v>1</v>
      </c>
    </row>
    <row r="115" spans="1:33" x14ac:dyDescent="0.25">
      <c r="A115" t="s">
        <v>130</v>
      </c>
      <c r="B115">
        <v>0</v>
      </c>
      <c r="C115">
        <v>0</v>
      </c>
      <c r="D115">
        <v>5225</v>
      </c>
      <c r="E115">
        <v>5114</v>
      </c>
      <c r="F115">
        <v>25840</v>
      </c>
      <c r="G115">
        <v>18879</v>
      </c>
      <c r="H115">
        <v>18935</v>
      </c>
      <c r="I115">
        <v>26007</v>
      </c>
      <c r="J115">
        <v>0</v>
      </c>
      <c r="K115">
        <v>0</v>
      </c>
      <c r="L115">
        <v>44942</v>
      </c>
      <c r="M115">
        <v>51847</v>
      </c>
      <c r="N115" s="1">
        <v>0.50124357301390798</v>
      </c>
      <c r="O115" s="1">
        <v>0.57825587490659258</v>
      </c>
      <c r="P115" s="1">
        <v>0.10339</v>
      </c>
      <c r="Q115">
        <v>0.45643057868513448</v>
      </c>
      <c r="R115">
        <v>0</v>
      </c>
      <c r="S115" t="b">
        <v>1</v>
      </c>
      <c r="T115" t="b">
        <v>0</v>
      </c>
      <c r="V115" s="3"/>
      <c r="X115" s="11">
        <f t="shared" si="13"/>
        <v>100000</v>
      </c>
      <c r="AD115" t="b" cm="1">
        <f t="array" ref="AD115">OR(NOT(ISBLANK(Y115:AB115)))</f>
        <v>0</v>
      </c>
      <c r="AE115" t="b">
        <f t="shared" si="14"/>
        <v>1</v>
      </c>
      <c r="AF115" t="b">
        <f t="shared" si="15"/>
        <v>0</v>
      </c>
      <c r="AG115" t="b">
        <f t="shared" si="12"/>
        <v>0</v>
      </c>
    </row>
    <row r="116" spans="1:33" x14ac:dyDescent="0.25">
      <c r="A116" t="s">
        <v>131</v>
      </c>
      <c r="B116">
        <v>321</v>
      </c>
      <c r="C116">
        <v>4046</v>
      </c>
      <c r="D116">
        <v>348</v>
      </c>
      <c r="E116">
        <v>330</v>
      </c>
      <c r="F116">
        <v>22404</v>
      </c>
      <c r="G116">
        <v>25221</v>
      </c>
      <c r="H116">
        <v>25053</v>
      </c>
      <c r="I116">
        <v>22277</v>
      </c>
      <c r="J116">
        <v>4367</v>
      </c>
      <c r="K116">
        <v>5721</v>
      </c>
      <c r="L116">
        <v>47330</v>
      </c>
      <c r="M116">
        <v>44681</v>
      </c>
      <c r="N116" s="1">
        <v>0.49844663261544941</v>
      </c>
      <c r="O116" s="1">
        <v>0.47054920751935125</v>
      </c>
      <c r="P116" s="1">
        <v>6.7799999999999996E-3</v>
      </c>
      <c r="Q116">
        <v>0.33839912920157506</v>
      </c>
      <c r="R116">
        <v>1.2749837021664518E-73</v>
      </c>
      <c r="S116" t="b">
        <v>1</v>
      </c>
      <c r="T116" t="b">
        <v>0</v>
      </c>
      <c r="V116" s="3"/>
      <c r="X116" s="11">
        <f t="shared" si="13"/>
        <v>100000</v>
      </c>
      <c r="AD116" t="b" cm="1">
        <f t="array" ref="AD116">OR(NOT(ISBLANK(Y116:AB116)))</f>
        <v>0</v>
      </c>
      <c r="AE116" t="b">
        <f t="shared" si="14"/>
        <v>0</v>
      </c>
      <c r="AF116" t="b">
        <f t="shared" si="15"/>
        <v>0</v>
      </c>
      <c r="AG116" t="b">
        <f t="shared" si="12"/>
        <v>0</v>
      </c>
    </row>
    <row r="117" spans="1:33" x14ac:dyDescent="0.25">
      <c r="A117" t="s">
        <v>132</v>
      </c>
      <c r="B117">
        <v>0</v>
      </c>
      <c r="C117">
        <v>0</v>
      </c>
      <c r="D117">
        <v>0</v>
      </c>
      <c r="E117">
        <v>1</v>
      </c>
      <c r="F117">
        <v>29857</v>
      </c>
      <c r="G117">
        <v>30223</v>
      </c>
      <c r="H117">
        <v>30143</v>
      </c>
      <c r="I117">
        <v>29776</v>
      </c>
      <c r="J117">
        <v>0</v>
      </c>
      <c r="K117">
        <v>18</v>
      </c>
      <c r="L117">
        <v>59919</v>
      </c>
      <c r="M117">
        <v>59633</v>
      </c>
      <c r="N117" s="1">
        <v>0.49932916107634229</v>
      </c>
      <c r="O117" s="1">
        <v>0.49694580788173237</v>
      </c>
      <c r="P117" s="1">
        <v>8.3333333333333337E-6</v>
      </c>
      <c r="Q117">
        <v>0.64209695910600217</v>
      </c>
      <c r="R117">
        <v>3.4345015667030687E-2</v>
      </c>
      <c r="S117" t="b">
        <v>1</v>
      </c>
      <c r="T117" t="b">
        <v>0</v>
      </c>
      <c r="V117" s="3"/>
      <c r="X117" s="11">
        <f t="shared" si="13"/>
        <v>120000</v>
      </c>
      <c r="AD117" t="b" cm="1">
        <f t="array" ref="AD117">OR(NOT(ISBLANK(Y117:AB117)))</f>
        <v>0</v>
      </c>
      <c r="AE117" t="b">
        <f t="shared" si="14"/>
        <v>0</v>
      </c>
      <c r="AF117" t="b">
        <f t="shared" si="15"/>
        <v>0</v>
      </c>
      <c r="AG117" t="b">
        <f t="shared" si="12"/>
        <v>1</v>
      </c>
    </row>
    <row r="118" spans="1:33" x14ac:dyDescent="0.25">
      <c r="A118" t="s">
        <v>133</v>
      </c>
      <c r="B118">
        <v>0</v>
      </c>
      <c r="C118">
        <v>6</v>
      </c>
      <c r="D118">
        <v>24</v>
      </c>
      <c r="E118">
        <v>21</v>
      </c>
      <c r="F118">
        <v>25295</v>
      </c>
      <c r="G118">
        <v>24468</v>
      </c>
      <c r="H118">
        <v>24679</v>
      </c>
      <c r="I118">
        <v>25507</v>
      </c>
      <c r="J118">
        <v>6</v>
      </c>
      <c r="K118">
        <v>38</v>
      </c>
      <c r="L118">
        <v>50186</v>
      </c>
      <c r="M118">
        <v>50802</v>
      </c>
      <c r="N118" s="1">
        <v>0.50211607920039225</v>
      </c>
      <c r="O118" s="1">
        <v>0.50827922240342571</v>
      </c>
      <c r="P118" s="1">
        <v>4.4999999999999999E-4</v>
      </c>
      <c r="Q118">
        <v>0.180901430930307</v>
      </c>
      <c r="R118">
        <v>1.6507010201014977E-7</v>
      </c>
      <c r="S118" t="b">
        <v>1</v>
      </c>
      <c r="T118" t="b">
        <v>0</v>
      </c>
      <c r="V118" s="3"/>
      <c r="X118" s="11">
        <f t="shared" si="13"/>
        <v>100000</v>
      </c>
      <c r="AD118" t="b" cm="1">
        <f t="array" ref="AD118">OR(NOT(ISBLANK(Y118:AB118)))</f>
        <v>0</v>
      </c>
      <c r="AE118" t="b">
        <f t="shared" si="14"/>
        <v>0</v>
      </c>
      <c r="AF118" t="b">
        <f t="shared" si="15"/>
        <v>0</v>
      </c>
      <c r="AG118" t="b">
        <f t="shared" si="12"/>
        <v>0</v>
      </c>
    </row>
    <row r="119" spans="1:33" x14ac:dyDescent="0.25">
      <c r="A119" t="s">
        <v>134</v>
      </c>
      <c r="B119">
        <v>0</v>
      </c>
      <c r="C119">
        <v>0</v>
      </c>
      <c r="D119">
        <v>1832</v>
      </c>
      <c r="E119">
        <v>1804</v>
      </c>
      <c r="F119">
        <v>26949</v>
      </c>
      <c r="G119">
        <v>21328</v>
      </c>
      <c r="H119">
        <v>21219</v>
      </c>
      <c r="I119">
        <v>26868</v>
      </c>
      <c r="J119">
        <v>0</v>
      </c>
      <c r="K119">
        <v>1413</v>
      </c>
      <c r="L119">
        <v>48087</v>
      </c>
      <c r="M119">
        <v>53817</v>
      </c>
      <c r="N119" s="1">
        <v>0.4990141546635673</v>
      </c>
      <c r="O119" s="1">
        <v>0.55847619442945495</v>
      </c>
      <c r="P119" s="1">
        <v>3.6360000000000003E-2</v>
      </c>
      <c r="Q119">
        <v>0.54049601581891937</v>
      </c>
      <c r="R119">
        <v>1.3489025355115969E-288</v>
      </c>
      <c r="S119" t="b">
        <v>1</v>
      </c>
      <c r="T119" t="b">
        <v>0</v>
      </c>
      <c r="V119" s="3"/>
      <c r="X119" s="11">
        <f t="shared" si="13"/>
        <v>100000</v>
      </c>
      <c r="AD119" t="b" cm="1">
        <f t="array" ref="AD119">OR(NOT(ISBLANK(Y119:AB119)))</f>
        <v>0</v>
      </c>
      <c r="AE119" t="b">
        <f t="shared" si="14"/>
        <v>0</v>
      </c>
      <c r="AF119" t="b">
        <f t="shared" si="15"/>
        <v>0</v>
      </c>
      <c r="AG119" t="b">
        <f t="shared" si="12"/>
        <v>0</v>
      </c>
    </row>
    <row r="120" spans="1:33" x14ac:dyDescent="0.25">
      <c r="A120" t="s">
        <v>135</v>
      </c>
      <c r="B120">
        <v>0</v>
      </c>
      <c r="C120">
        <v>0</v>
      </c>
      <c r="D120">
        <v>4094</v>
      </c>
      <c r="E120">
        <v>3924</v>
      </c>
      <c r="F120">
        <v>48269</v>
      </c>
      <c r="G120">
        <v>47570</v>
      </c>
      <c r="H120">
        <v>47637</v>
      </c>
      <c r="I120">
        <v>48506</v>
      </c>
      <c r="J120">
        <v>0</v>
      </c>
      <c r="K120">
        <v>8018</v>
      </c>
      <c r="L120">
        <v>96143</v>
      </c>
      <c r="M120">
        <v>96775</v>
      </c>
      <c r="N120" s="1">
        <v>0.50079174089237499</v>
      </c>
      <c r="O120" s="1">
        <v>0.50408371618172498</v>
      </c>
      <c r="P120" s="1">
        <v>4.0090000000000001E-2</v>
      </c>
      <c r="Q120">
        <v>0.487798592327017</v>
      </c>
      <c r="R120">
        <v>3.4541089378536298E-4</v>
      </c>
      <c r="S120" t="b">
        <v>1</v>
      </c>
      <c r="T120" t="b">
        <v>0</v>
      </c>
      <c r="V120" s="3"/>
      <c r="X120" s="11">
        <f t="shared" si="13"/>
        <v>200000</v>
      </c>
      <c r="AD120" t="b" cm="1">
        <f t="array" ref="AD120">OR(NOT(ISBLANK(Y120:AB120)))</f>
        <v>0</v>
      </c>
      <c r="AE120" t="b">
        <f t="shared" si="14"/>
        <v>0</v>
      </c>
      <c r="AF120" t="b">
        <f t="shared" si="15"/>
        <v>0</v>
      </c>
      <c r="AG120" t="b">
        <f t="shared" si="12"/>
        <v>0</v>
      </c>
    </row>
    <row r="121" spans="1:33" x14ac:dyDescent="0.25">
      <c r="A121" t="s">
        <v>136</v>
      </c>
      <c r="B121">
        <v>0</v>
      </c>
      <c r="C121">
        <v>0</v>
      </c>
      <c r="D121">
        <v>0</v>
      </c>
      <c r="E121">
        <v>0</v>
      </c>
      <c r="F121">
        <v>25553</v>
      </c>
      <c r="G121">
        <v>24611</v>
      </c>
      <c r="H121">
        <v>24447</v>
      </c>
      <c r="I121">
        <v>25389</v>
      </c>
      <c r="J121">
        <v>0</v>
      </c>
      <c r="K121">
        <v>0</v>
      </c>
      <c r="L121">
        <v>49836</v>
      </c>
      <c r="M121">
        <v>50942</v>
      </c>
      <c r="N121" s="1">
        <v>0.49836000000000003</v>
      </c>
      <c r="O121" s="1">
        <v>0.50941999999999998</v>
      </c>
      <c r="P121" s="1">
        <v>0</v>
      </c>
      <c r="Q121">
        <v>0.29963004389082243</v>
      </c>
      <c r="R121">
        <v>2.557638745478014E-9</v>
      </c>
      <c r="S121" t="b">
        <v>1</v>
      </c>
      <c r="T121" t="b">
        <v>0</v>
      </c>
      <c r="V121" s="3"/>
      <c r="X121" s="11">
        <f t="shared" si="13"/>
        <v>100000</v>
      </c>
      <c r="AD121" t="b" cm="1">
        <f t="array" ref="AD121">OR(NOT(ISBLANK(Y121:AB121)))</f>
        <v>0</v>
      </c>
      <c r="AE121" t="b">
        <f t="shared" si="14"/>
        <v>0</v>
      </c>
      <c r="AF121" t="b">
        <f t="shared" si="15"/>
        <v>0</v>
      </c>
      <c r="AG121" t="b">
        <f t="shared" si="12"/>
        <v>0</v>
      </c>
    </row>
    <row r="122" spans="1:33" x14ac:dyDescent="0.25">
      <c r="A122" t="s">
        <v>137</v>
      </c>
      <c r="B122">
        <v>0</v>
      </c>
      <c r="C122">
        <v>0</v>
      </c>
      <c r="D122">
        <v>1800</v>
      </c>
      <c r="E122">
        <v>1717</v>
      </c>
      <c r="F122">
        <v>24712</v>
      </c>
      <c r="G122">
        <v>23622</v>
      </c>
      <c r="H122">
        <v>23488</v>
      </c>
      <c r="I122">
        <v>24661</v>
      </c>
      <c r="J122">
        <v>0</v>
      </c>
      <c r="K122">
        <v>16</v>
      </c>
      <c r="L122">
        <v>48149</v>
      </c>
      <c r="M122">
        <v>49373</v>
      </c>
      <c r="N122" s="1">
        <v>0.49904128188385521</v>
      </c>
      <c r="O122" s="1">
        <v>0.51172745457749036</v>
      </c>
      <c r="P122" s="1">
        <v>3.517E-2</v>
      </c>
      <c r="Q122">
        <v>0.5514501376891352</v>
      </c>
      <c r="R122">
        <v>3.2048776796183517E-13</v>
      </c>
      <c r="S122" t="b">
        <v>1</v>
      </c>
      <c r="T122" t="b">
        <v>0</v>
      </c>
      <c r="V122" s="3"/>
      <c r="X122" s="11">
        <f t="shared" si="13"/>
        <v>100000</v>
      </c>
      <c r="Z122" s="4" t="s">
        <v>159</v>
      </c>
      <c r="AD122" t="b" cm="1">
        <f t="array" ref="AD122">OR(NOT(ISBLANK(Y122:AB122)))</f>
        <v>1</v>
      </c>
      <c r="AE122" t="b">
        <f t="shared" si="14"/>
        <v>0</v>
      </c>
      <c r="AF122" t="b">
        <f t="shared" si="15"/>
        <v>0</v>
      </c>
      <c r="AG122" t="b">
        <f t="shared" si="12"/>
        <v>0</v>
      </c>
    </row>
    <row r="123" spans="1:33" x14ac:dyDescent="0.25">
      <c r="A123" t="s">
        <v>138</v>
      </c>
      <c r="B123">
        <v>0</v>
      </c>
      <c r="C123">
        <v>0</v>
      </c>
      <c r="D123">
        <v>3380</v>
      </c>
      <c r="E123">
        <v>3300</v>
      </c>
      <c r="F123">
        <v>23361</v>
      </c>
      <c r="G123">
        <v>23195</v>
      </c>
      <c r="H123">
        <v>23259</v>
      </c>
      <c r="I123">
        <v>23505</v>
      </c>
      <c r="J123">
        <v>0</v>
      </c>
      <c r="K123">
        <v>0</v>
      </c>
      <c r="L123">
        <v>46764</v>
      </c>
      <c r="M123">
        <v>46866</v>
      </c>
      <c r="N123" s="1">
        <v>0.50111444492070301</v>
      </c>
      <c r="O123" s="1">
        <v>0.50220745820831547</v>
      </c>
      <c r="P123" s="1">
        <v>6.6799999999999998E-2</v>
      </c>
      <c r="Q123">
        <v>0.49594207430720694</v>
      </c>
      <c r="R123">
        <v>0.17743884047143144</v>
      </c>
      <c r="S123" t="b">
        <v>1</v>
      </c>
      <c r="T123" t="b">
        <v>1</v>
      </c>
      <c r="V123" s="3"/>
      <c r="X123" s="11">
        <f t="shared" si="13"/>
        <v>100000</v>
      </c>
      <c r="AD123" t="b" cm="1">
        <f t="array" ref="AD123">OR(NOT(ISBLANK(Y123:AB123)))</f>
        <v>0</v>
      </c>
      <c r="AE123" t="b">
        <f t="shared" si="14"/>
        <v>0</v>
      </c>
      <c r="AF123" t="b">
        <f t="shared" si="15"/>
        <v>0</v>
      </c>
      <c r="AG123" t="b">
        <f t="shared" si="12"/>
        <v>0</v>
      </c>
    </row>
    <row r="124" spans="1:33" x14ac:dyDescent="0.25">
      <c r="A124" t="s">
        <v>139</v>
      </c>
      <c r="B124">
        <v>0</v>
      </c>
      <c r="C124">
        <v>0</v>
      </c>
      <c r="D124">
        <v>21</v>
      </c>
      <c r="E124">
        <v>30</v>
      </c>
      <c r="F124">
        <v>24779</v>
      </c>
      <c r="G124">
        <v>25142</v>
      </c>
      <c r="H124">
        <v>25200</v>
      </c>
      <c r="I124">
        <v>24828</v>
      </c>
      <c r="J124">
        <v>0</v>
      </c>
      <c r="K124">
        <v>0</v>
      </c>
      <c r="L124">
        <v>50028</v>
      </c>
      <c r="M124">
        <v>49607</v>
      </c>
      <c r="N124" s="1">
        <v>0.50053527298922451</v>
      </c>
      <c r="O124" s="1">
        <v>0.49632312479364477</v>
      </c>
      <c r="P124" s="1">
        <v>5.1000000000000004E-4</v>
      </c>
      <c r="Q124">
        <v>0.73502408115144835</v>
      </c>
      <c r="R124">
        <v>2.0079073193406648E-2</v>
      </c>
      <c r="S124" t="b">
        <v>1</v>
      </c>
      <c r="T124" t="b">
        <v>0</v>
      </c>
      <c r="V124" s="3"/>
      <c r="X124" s="11">
        <f t="shared" si="13"/>
        <v>100000</v>
      </c>
      <c r="AD124" t="b" cm="1">
        <f t="array" ref="AD124">OR(NOT(ISBLANK(Y124:AB124)))</f>
        <v>0</v>
      </c>
      <c r="AE124" t="b">
        <f t="shared" si="14"/>
        <v>0</v>
      </c>
      <c r="AF124" t="b">
        <f t="shared" si="15"/>
        <v>0</v>
      </c>
      <c r="AG124" t="b">
        <f t="shared" si="12"/>
        <v>1</v>
      </c>
    </row>
    <row r="125" spans="1:33" x14ac:dyDescent="0.25">
      <c r="A125" t="s">
        <v>140</v>
      </c>
      <c r="B125">
        <v>0</v>
      </c>
      <c r="C125">
        <v>0</v>
      </c>
      <c r="D125">
        <v>3359</v>
      </c>
      <c r="E125">
        <v>3362</v>
      </c>
      <c r="F125">
        <v>20653</v>
      </c>
      <c r="G125">
        <v>26139</v>
      </c>
      <c r="H125">
        <v>25988</v>
      </c>
      <c r="I125">
        <v>20499</v>
      </c>
      <c r="J125">
        <v>0</v>
      </c>
      <c r="K125">
        <v>0</v>
      </c>
      <c r="L125">
        <v>46487</v>
      </c>
      <c r="M125">
        <v>41152</v>
      </c>
      <c r="N125" s="1">
        <v>0.49836511969467939</v>
      </c>
      <c r="O125" s="1">
        <v>0.44117111032493916</v>
      </c>
      <c r="P125" s="1">
        <v>6.7210000000000006E-2</v>
      </c>
      <c r="Q125">
        <v>0.31797029578001523</v>
      </c>
      <c r="R125">
        <v>8.8132190593406424E-283</v>
      </c>
      <c r="S125" t="b">
        <v>1</v>
      </c>
      <c r="T125" t="b">
        <v>0</v>
      </c>
      <c r="V125" s="3"/>
      <c r="X125" s="11">
        <f t="shared" si="13"/>
        <v>100000</v>
      </c>
      <c r="AD125" t="b" cm="1">
        <f t="array" ref="AD125">OR(NOT(ISBLANK(Y125:AB125)))</f>
        <v>0</v>
      </c>
      <c r="AE125" t="b">
        <f t="shared" si="14"/>
        <v>0</v>
      </c>
      <c r="AF125" t="b">
        <f t="shared" si="15"/>
        <v>0</v>
      </c>
      <c r="AG125" t="b">
        <f t="shared" si="12"/>
        <v>0</v>
      </c>
    </row>
    <row r="126" spans="1:33" x14ac:dyDescent="0.25">
      <c r="A126" t="s">
        <v>141</v>
      </c>
      <c r="B126">
        <v>455</v>
      </c>
      <c r="C126">
        <v>253</v>
      </c>
      <c r="D126">
        <v>0</v>
      </c>
      <c r="E126">
        <v>0</v>
      </c>
      <c r="F126">
        <v>24250</v>
      </c>
      <c r="G126">
        <v>25319</v>
      </c>
      <c r="H126">
        <v>25386</v>
      </c>
      <c r="I126">
        <v>24337</v>
      </c>
      <c r="J126">
        <v>708</v>
      </c>
      <c r="K126">
        <v>0</v>
      </c>
      <c r="L126">
        <v>49723</v>
      </c>
      <c r="M126">
        <v>48587</v>
      </c>
      <c r="N126" s="1">
        <v>0.50077549047254566</v>
      </c>
      <c r="O126" s="1">
        <v>0.48933448817628811</v>
      </c>
      <c r="P126" s="1">
        <v>0</v>
      </c>
      <c r="Q126">
        <v>0.62503716995058867</v>
      </c>
      <c r="R126">
        <v>1.7981311282876944E-11</v>
      </c>
      <c r="S126" t="b">
        <v>1</v>
      </c>
      <c r="T126" t="b">
        <v>0</v>
      </c>
      <c r="V126" s="3"/>
      <c r="X126" s="11">
        <f t="shared" si="13"/>
        <v>100000</v>
      </c>
      <c r="AD126" t="b" cm="1">
        <f t="array" ref="AD126">OR(NOT(ISBLANK(Y126:AB126)))</f>
        <v>0</v>
      </c>
      <c r="AE126" t="b">
        <f t="shared" si="14"/>
        <v>0</v>
      </c>
      <c r="AF126" t="b">
        <f t="shared" si="15"/>
        <v>0</v>
      </c>
      <c r="AG126" t="b">
        <f t="shared" si="12"/>
        <v>0</v>
      </c>
    </row>
    <row r="127" spans="1:33" x14ac:dyDescent="0.25">
      <c r="A127" s="12" t="s">
        <v>142</v>
      </c>
      <c r="B127">
        <v>488</v>
      </c>
      <c r="C127">
        <v>0</v>
      </c>
      <c r="D127">
        <v>5641</v>
      </c>
      <c r="E127">
        <v>5685</v>
      </c>
      <c r="F127">
        <v>17100</v>
      </c>
      <c r="G127">
        <v>27247</v>
      </c>
      <c r="H127">
        <v>27000</v>
      </c>
      <c r="I127">
        <v>16839</v>
      </c>
      <c r="J127">
        <v>488</v>
      </c>
      <c r="K127">
        <v>0</v>
      </c>
      <c r="L127">
        <v>43839</v>
      </c>
      <c r="M127">
        <v>33939</v>
      </c>
      <c r="N127" s="1">
        <v>0.49711972421926381</v>
      </c>
      <c r="O127" s="1">
        <v>0.38485700678112172</v>
      </c>
      <c r="P127" s="1">
        <v>0.11326</v>
      </c>
      <c r="Q127">
        <v>8.7143757764854252E-2</v>
      </c>
      <c r="R127">
        <v>0</v>
      </c>
      <c r="S127" t="b">
        <v>1</v>
      </c>
      <c r="T127" t="b">
        <v>0</v>
      </c>
      <c r="V127" s="3"/>
      <c r="X127" s="11">
        <f t="shared" si="13"/>
        <v>100000</v>
      </c>
      <c r="AD127" t="b" cm="1">
        <f t="array" ref="AD127">OR(NOT(ISBLANK(Y127:AB127)))</f>
        <v>0</v>
      </c>
      <c r="AE127" t="b">
        <f t="shared" si="14"/>
        <v>1</v>
      </c>
      <c r="AF127" t="b">
        <f t="shared" si="15"/>
        <v>1</v>
      </c>
      <c r="AG127" t="b">
        <f t="shared" si="12"/>
        <v>1</v>
      </c>
    </row>
    <row r="128" spans="1:33" x14ac:dyDescent="0.25">
      <c r="A128" t="s">
        <v>144</v>
      </c>
      <c r="B128">
        <v>0</v>
      </c>
      <c r="C128">
        <v>0</v>
      </c>
      <c r="D128">
        <v>0</v>
      </c>
      <c r="E128">
        <v>0</v>
      </c>
      <c r="F128">
        <v>25342</v>
      </c>
      <c r="G128">
        <v>24477</v>
      </c>
      <c r="H128">
        <v>24658</v>
      </c>
      <c r="I128">
        <v>25523</v>
      </c>
      <c r="J128">
        <v>0</v>
      </c>
      <c r="K128">
        <v>0</v>
      </c>
      <c r="L128">
        <v>50181</v>
      </c>
      <c r="M128">
        <v>50865</v>
      </c>
      <c r="N128" s="1">
        <v>0.50180999999999998</v>
      </c>
      <c r="O128" s="1">
        <v>0.50865000000000005</v>
      </c>
      <c r="P128" s="1">
        <v>0</v>
      </c>
      <c r="Q128">
        <v>0.25231500642429311</v>
      </c>
      <c r="R128">
        <v>4.4815946870970064E-8</v>
      </c>
      <c r="S128" t="b">
        <v>1</v>
      </c>
      <c r="T128" t="b">
        <v>0</v>
      </c>
      <c r="V128" s="3"/>
      <c r="X128" s="11">
        <f t="shared" si="13"/>
        <v>100000</v>
      </c>
      <c r="AD128" t="b" cm="1">
        <f t="array" ref="AD128">OR(NOT(ISBLANK(Y128:AB128)))</f>
        <v>0</v>
      </c>
      <c r="AE128" t="b">
        <f t="shared" si="14"/>
        <v>0</v>
      </c>
      <c r="AF128" t="b">
        <f t="shared" si="15"/>
        <v>0</v>
      </c>
      <c r="AG128" t="b">
        <f t="shared" si="12"/>
        <v>0</v>
      </c>
    </row>
    <row r="129" spans="1:33" x14ac:dyDescent="0.25">
      <c r="A129" t="s">
        <v>143</v>
      </c>
      <c r="B129">
        <v>865</v>
      </c>
      <c r="C129">
        <v>0</v>
      </c>
      <c r="D129">
        <v>1738</v>
      </c>
      <c r="E129">
        <v>1706</v>
      </c>
      <c r="F129">
        <v>29512</v>
      </c>
      <c r="G129">
        <v>18434</v>
      </c>
      <c r="H129">
        <v>18325</v>
      </c>
      <c r="I129">
        <v>29420</v>
      </c>
      <c r="J129">
        <v>865</v>
      </c>
      <c r="K129">
        <v>1</v>
      </c>
      <c r="L129">
        <v>47745</v>
      </c>
      <c r="M129">
        <v>58932</v>
      </c>
      <c r="N129" s="1">
        <v>0.49894974449007745</v>
      </c>
      <c r="O129" s="1">
        <v>0.61585729065429351</v>
      </c>
      <c r="P129" s="1">
        <v>3.4439999999999998E-2</v>
      </c>
      <c r="Q129">
        <v>0.51583997372751578</v>
      </c>
      <c r="R129">
        <v>0</v>
      </c>
      <c r="S129" t="b">
        <v>1</v>
      </c>
      <c r="T129" t="b">
        <v>0</v>
      </c>
      <c r="V129" s="3"/>
      <c r="X129" s="11">
        <f t="shared" si="13"/>
        <v>100000</v>
      </c>
      <c r="AD129" t="b" cm="1">
        <f t="array" ref="AD129">OR(NOT(ISBLANK(Y129:AB129)))</f>
        <v>0</v>
      </c>
      <c r="AE129" t="b">
        <f t="shared" si="14"/>
        <v>1</v>
      </c>
      <c r="AF129" t="b">
        <f t="shared" si="15"/>
        <v>0</v>
      </c>
      <c r="AG129" t="b">
        <f t="shared" si="12"/>
        <v>0</v>
      </c>
    </row>
    <row r="130" spans="1:33" x14ac:dyDescent="0.25">
      <c r="A130" t="s">
        <v>145</v>
      </c>
      <c r="B130">
        <v>0</v>
      </c>
      <c r="C130">
        <v>0</v>
      </c>
      <c r="D130">
        <v>0</v>
      </c>
      <c r="E130">
        <v>0</v>
      </c>
      <c r="F130">
        <v>26372</v>
      </c>
      <c r="G130">
        <v>23606</v>
      </c>
      <c r="H130">
        <v>23628</v>
      </c>
      <c r="I130">
        <v>26394</v>
      </c>
      <c r="J130">
        <v>0</v>
      </c>
      <c r="K130">
        <v>0</v>
      </c>
      <c r="L130">
        <v>50022</v>
      </c>
      <c r="M130">
        <v>52766</v>
      </c>
      <c r="N130" s="1">
        <v>0.50022</v>
      </c>
      <c r="O130" s="1">
        <v>0.52766000000000002</v>
      </c>
      <c r="P130" s="1">
        <v>0</v>
      </c>
      <c r="Q130">
        <v>0.88933934869504006</v>
      </c>
      <c r="R130">
        <v>1.5996608419967965E-68</v>
      </c>
      <c r="S130" t="b">
        <v>1</v>
      </c>
      <c r="T130" t="b">
        <v>0</v>
      </c>
      <c r="V130" s="3"/>
      <c r="X130" s="11">
        <f t="shared" ref="X130:X142" si="16">SUM(B130:I130)</f>
        <v>100000</v>
      </c>
      <c r="AD130" t="b" cm="1">
        <f t="array" ref="AD130">OR(NOT(ISBLANK(Y130:AB130)))</f>
        <v>0</v>
      </c>
      <c r="AE130" t="b">
        <f t="shared" ref="AE130:AE142" si="17">OR(NOT(S130),AND(Q130&gt;0.05, Q130&lt;0.15), P130&gt;0.1,O130&gt;0.6, O130&lt;0.4,L130&lt;8000,(C130/X130)&gt;0.05, (B130/X130)&gt;0.05)</f>
        <v>0</v>
      </c>
      <c r="AF130" t="b">
        <f t="shared" ref="AF130:AF142" si="18">OR(NOT(S130), AND(Q130&gt;0.05, Q130&lt;0.15), L130&lt;8000,(C130/X130)&gt;0.05, (B130/X130)&gt;0.05)</f>
        <v>0</v>
      </c>
      <c r="AG130" t="b">
        <f t="shared" si="12"/>
        <v>0</v>
      </c>
    </row>
    <row r="131" spans="1:33" x14ac:dyDescent="0.25">
      <c r="A131" t="s">
        <v>146</v>
      </c>
      <c r="B131">
        <v>0</v>
      </c>
      <c r="C131">
        <v>0</v>
      </c>
      <c r="D131">
        <v>113</v>
      </c>
      <c r="E131">
        <v>110</v>
      </c>
      <c r="F131">
        <v>26506</v>
      </c>
      <c r="G131">
        <v>23590</v>
      </c>
      <c r="H131">
        <v>23381</v>
      </c>
      <c r="I131">
        <v>26300</v>
      </c>
      <c r="J131">
        <v>0</v>
      </c>
      <c r="K131">
        <v>2747</v>
      </c>
      <c r="L131">
        <v>49681</v>
      </c>
      <c r="M131">
        <v>52806</v>
      </c>
      <c r="N131" s="1">
        <v>0.49792036240817023</v>
      </c>
      <c r="O131" s="1">
        <v>0.52924020565861873</v>
      </c>
      <c r="P131" s="1">
        <v>2.2300000000000002E-3</v>
      </c>
      <c r="Q131">
        <v>0.18890983319297769</v>
      </c>
      <c r="R131">
        <v>3.4379771428377718E-76</v>
      </c>
      <c r="S131" t="b">
        <v>1</v>
      </c>
      <c r="T131" t="b">
        <v>0</v>
      </c>
      <c r="V131" s="3"/>
      <c r="X131" s="11">
        <f t="shared" si="16"/>
        <v>100000</v>
      </c>
      <c r="AD131" t="b" cm="1">
        <f t="array" ref="AD131">OR(NOT(ISBLANK(Y131:AB131)))</f>
        <v>0</v>
      </c>
      <c r="AE131" t="b">
        <f t="shared" si="17"/>
        <v>0</v>
      </c>
      <c r="AF131" t="b">
        <f t="shared" si="18"/>
        <v>0</v>
      </c>
      <c r="AG131" t="b">
        <f t="shared" si="12"/>
        <v>0</v>
      </c>
    </row>
    <row r="132" spans="1:33" x14ac:dyDescent="0.25">
      <c r="A132" t="s">
        <v>147</v>
      </c>
      <c r="B132">
        <v>3246</v>
      </c>
      <c r="C132">
        <v>0</v>
      </c>
      <c r="D132">
        <v>4697</v>
      </c>
      <c r="E132">
        <v>4709</v>
      </c>
      <c r="F132">
        <v>21878</v>
      </c>
      <c r="G132">
        <v>21888</v>
      </c>
      <c r="H132">
        <v>21817</v>
      </c>
      <c r="I132">
        <v>21765</v>
      </c>
      <c r="J132">
        <v>3246</v>
      </c>
      <c r="K132">
        <v>0</v>
      </c>
      <c r="L132">
        <v>43582</v>
      </c>
      <c r="M132">
        <v>43643</v>
      </c>
      <c r="N132" s="1">
        <v>0.49894674176855797</v>
      </c>
      <c r="O132" s="1">
        <v>0.49964509776984017</v>
      </c>
      <c r="P132" s="1">
        <v>9.4060000000000005E-2</v>
      </c>
      <c r="Q132">
        <v>0.53356416147080432</v>
      </c>
      <c r="R132">
        <v>0.83383895901170879</v>
      </c>
      <c r="S132" t="b">
        <v>1</v>
      </c>
      <c r="T132" t="b">
        <v>1</v>
      </c>
      <c r="V132" s="3"/>
      <c r="X132" s="11">
        <f t="shared" si="16"/>
        <v>100000</v>
      </c>
      <c r="AD132" t="b" cm="1">
        <f t="array" ref="AD132">OR(NOT(ISBLANK(Y132:AB132)))</f>
        <v>0</v>
      </c>
      <c r="AE132" t="b">
        <f t="shared" si="17"/>
        <v>0</v>
      </c>
      <c r="AF132" t="b">
        <f t="shared" si="18"/>
        <v>0</v>
      </c>
      <c r="AG132" t="b">
        <f t="shared" si="12"/>
        <v>0</v>
      </c>
    </row>
    <row r="133" spans="1:33" x14ac:dyDescent="0.25">
      <c r="A133" t="s">
        <v>148</v>
      </c>
      <c r="B133">
        <v>0</v>
      </c>
      <c r="C133">
        <v>0</v>
      </c>
      <c r="D133">
        <v>1074</v>
      </c>
      <c r="E133">
        <v>1054</v>
      </c>
      <c r="F133">
        <v>26522</v>
      </c>
      <c r="G133">
        <v>22411</v>
      </c>
      <c r="H133">
        <v>22404</v>
      </c>
      <c r="I133">
        <v>26535</v>
      </c>
      <c r="J133">
        <v>0</v>
      </c>
      <c r="K133">
        <v>0</v>
      </c>
      <c r="L133">
        <v>48939</v>
      </c>
      <c r="M133">
        <v>53057</v>
      </c>
      <c r="N133" s="1">
        <v>0.50003065228052967</v>
      </c>
      <c r="O133" s="1">
        <v>0.54210601602092534</v>
      </c>
      <c r="P133" s="1">
        <v>2.128E-2</v>
      </c>
      <c r="Q133">
        <v>0.98469844890884939</v>
      </c>
      <c r="R133">
        <v>5.8078926690963672E-153</v>
      </c>
      <c r="S133" t="b">
        <v>1</v>
      </c>
      <c r="T133" t="b">
        <v>0</v>
      </c>
      <c r="V133" s="3"/>
      <c r="X133" s="11">
        <f t="shared" si="16"/>
        <v>100000</v>
      </c>
      <c r="AD133" t="b" cm="1">
        <f t="array" ref="AD133">OR(NOT(ISBLANK(Y133:AB133)))</f>
        <v>0</v>
      </c>
      <c r="AE133" t="b">
        <f t="shared" si="17"/>
        <v>0</v>
      </c>
      <c r="AF133" t="b">
        <f t="shared" si="18"/>
        <v>0</v>
      </c>
      <c r="AG133" t="b">
        <f t="shared" si="12"/>
        <v>0</v>
      </c>
    </row>
    <row r="134" spans="1:33" x14ac:dyDescent="0.25">
      <c r="A134" t="s">
        <v>149</v>
      </c>
      <c r="B134">
        <v>0</v>
      </c>
      <c r="C134">
        <v>0</v>
      </c>
      <c r="D134">
        <v>1244</v>
      </c>
      <c r="E134">
        <v>1212</v>
      </c>
      <c r="F134">
        <v>26786</v>
      </c>
      <c r="G134">
        <v>22117</v>
      </c>
      <c r="H134">
        <v>21970</v>
      </c>
      <c r="I134">
        <v>26671</v>
      </c>
      <c r="J134">
        <v>0</v>
      </c>
      <c r="K134">
        <v>0</v>
      </c>
      <c r="L134">
        <v>48641</v>
      </c>
      <c r="M134">
        <v>53457</v>
      </c>
      <c r="N134" s="1">
        <v>0.49865701632083981</v>
      </c>
      <c r="O134" s="1">
        <v>0.54802960715164439</v>
      </c>
      <c r="P134" s="1">
        <v>2.4559999999999998E-2</v>
      </c>
      <c r="Q134">
        <v>0.4015353830897806</v>
      </c>
      <c r="R134">
        <v>9.4526123556585277E-198</v>
      </c>
      <c r="S134" t="b">
        <v>1</v>
      </c>
      <c r="T134" t="b">
        <v>0</v>
      </c>
      <c r="V134" s="3"/>
      <c r="X134" s="11">
        <f t="shared" si="16"/>
        <v>100000</v>
      </c>
      <c r="AD134" t="b" cm="1">
        <f t="array" ref="AD134">OR(NOT(ISBLANK(Y134:AB134)))</f>
        <v>0</v>
      </c>
      <c r="AE134" t="b">
        <f t="shared" si="17"/>
        <v>0</v>
      </c>
      <c r="AF134" t="b">
        <f t="shared" si="18"/>
        <v>0</v>
      </c>
      <c r="AG134" t="b">
        <f t="shared" si="12"/>
        <v>0</v>
      </c>
    </row>
    <row r="135" spans="1:33" x14ac:dyDescent="0.25">
      <c r="A135" t="s">
        <v>150</v>
      </c>
      <c r="B135">
        <v>0</v>
      </c>
      <c r="C135">
        <v>0</v>
      </c>
      <c r="D135">
        <v>5824</v>
      </c>
      <c r="E135">
        <v>5898</v>
      </c>
      <c r="F135">
        <v>22187</v>
      </c>
      <c r="G135">
        <v>22083</v>
      </c>
      <c r="H135">
        <v>21989</v>
      </c>
      <c r="I135">
        <v>22019</v>
      </c>
      <c r="J135">
        <v>0</v>
      </c>
      <c r="K135">
        <v>0</v>
      </c>
      <c r="L135">
        <v>44008</v>
      </c>
      <c r="M135">
        <v>44206</v>
      </c>
      <c r="N135" s="1">
        <v>0.49851605156437617</v>
      </c>
      <c r="O135" s="1">
        <v>0.50075896599379233</v>
      </c>
      <c r="P135" s="1">
        <v>0.11722</v>
      </c>
      <c r="Q135">
        <v>0.37787953104221161</v>
      </c>
      <c r="R135">
        <v>0.65198804174014535</v>
      </c>
      <c r="S135" t="b">
        <v>1</v>
      </c>
      <c r="T135" t="b">
        <v>1</v>
      </c>
      <c r="V135" s="3"/>
      <c r="X135" s="11">
        <f t="shared" si="16"/>
        <v>100000</v>
      </c>
      <c r="Y135" s="4" t="s">
        <v>166</v>
      </c>
      <c r="Z135" s="4" t="s">
        <v>159</v>
      </c>
      <c r="AD135" t="b" cm="1">
        <f t="array" ref="AD135">OR(NOT(ISBLANK(Y135:AB135)))</f>
        <v>1</v>
      </c>
      <c r="AE135" t="b">
        <f t="shared" si="17"/>
        <v>1</v>
      </c>
      <c r="AF135" t="b">
        <f t="shared" si="18"/>
        <v>0</v>
      </c>
      <c r="AG135" t="b">
        <f t="shared" si="12"/>
        <v>0</v>
      </c>
    </row>
    <row r="136" spans="1:33" x14ac:dyDescent="0.25">
      <c r="A136" t="s">
        <v>151</v>
      </c>
      <c r="B136">
        <v>0</v>
      </c>
      <c r="C136">
        <v>0</v>
      </c>
      <c r="D136">
        <v>3456</v>
      </c>
      <c r="E136">
        <v>3372</v>
      </c>
      <c r="F136">
        <v>23307</v>
      </c>
      <c r="G136">
        <v>23408</v>
      </c>
      <c r="H136">
        <v>23237</v>
      </c>
      <c r="I136">
        <v>23220</v>
      </c>
      <c r="J136">
        <v>0</v>
      </c>
      <c r="K136">
        <v>0</v>
      </c>
      <c r="L136">
        <v>46457</v>
      </c>
      <c r="M136">
        <v>46527</v>
      </c>
      <c r="N136" s="1">
        <v>0.49861546387326666</v>
      </c>
      <c r="O136" s="1">
        <v>0.49936676254668783</v>
      </c>
      <c r="P136" s="1">
        <v>6.8279999999999993E-2</v>
      </c>
      <c r="Q136">
        <v>0.39798016076007309</v>
      </c>
      <c r="R136">
        <v>0.69906722163918955</v>
      </c>
      <c r="S136" t="b">
        <v>1</v>
      </c>
      <c r="T136" t="b">
        <v>1</v>
      </c>
      <c r="V136" s="3"/>
      <c r="X136" s="11">
        <f t="shared" si="16"/>
        <v>100000</v>
      </c>
      <c r="AD136" t="b" cm="1">
        <f t="array" ref="AD136">OR(NOT(ISBLANK(Y136:AB136)))</f>
        <v>0</v>
      </c>
      <c r="AE136" t="b">
        <f t="shared" si="17"/>
        <v>0</v>
      </c>
      <c r="AF136" t="b">
        <f t="shared" si="18"/>
        <v>0</v>
      </c>
      <c r="AG136" t="b">
        <f t="shared" si="12"/>
        <v>0</v>
      </c>
    </row>
    <row r="137" spans="1:33" x14ac:dyDescent="0.25">
      <c r="A137" t="s">
        <v>152</v>
      </c>
      <c r="B137">
        <v>0</v>
      </c>
      <c r="C137">
        <v>0</v>
      </c>
      <c r="D137">
        <v>7882</v>
      </c>
      <c r="E137">
        <v>7634</v>
      </c>
      <c r="F137">
        <v>24134</v>
      </c>
      <c r="G137">
        <v>17957</v>
      </c>
      <c r="H137">
        <v>17984</v>
      </c>
      <c r="I137">
        <v>24409</v>
      </c>
      <c r="J137">
        <v>0</v>
      </c>
      <c r="K137">
        <v>0</v>
      </c>
      <c r="L137">
        <v>42393</v>
      </c>
      <c r="M137">
        <v>48543</v>
      </c>
      <c r="N137" s="1">
        <v>0.50178732067610432</v>
      </c>
      <c r="O137" s="1">
        <v>0.57458216940485773</v>
      </c>
      <c r="P137" s="1">
        <v>0.15515999999999999</v>
      </c>
      <c r="Q137">
        <v>0.29880010604906221</v>
      </c>
      <c r="R137">
        <v>0</v>
      </c>
      <c r="S137" t="b">
        <v>1</v>
      </c>
      <c r="T137" t="b">
        <v>0</v>
      </c>
      <c r="V137" s="3"/>
      <c r="X137" s="11">
        <f t="shared" si="16"/>
        <v>100000</v>
      </c>
      <c r="AD137" t="b" cm="1">
        <f t="array" ref="AD137">OR(NOT(ISBLANK(Y137:AB137)))</f>
        <v>0</v>
      </c>
      <c r="AE137" t="b">
        <f t="shared" si="17"/>
        <v>1</v>
      </c>
      <c r="AF137" t="b">
        <f t="shared" si="18"/>
        <v>0</v>
      </c>
      <c r="AG137" t="b">
        <f t="shared" si="12"/>
        <v>0</v>
      </c>
    </row>
    <row r="138" spans="1:33" x14ac:dyDescent="0.25">
      <c r="A138" t="s">
        <v>153</v>
      </c>
      <c r="B138">
        <v>0</v>
      </c>
      <c r="C138">
        <v>0</v>
      </c>
      <c r="D138">
        <v>4176</v>
      </c>
      <c r="E138">
        <v>4141</v>
      </c>
      <c r="F138">
        <v>28272</v>
      </c>
      <c r="G138">
        <v>17719</v>
      </c>
      <c r="H138">
        <v>17552</v>
      </c>
      <c r="I138">
        <v>28140</v>
      </c>
      <c r="J138">
        <v>0</v>
      </c>
      <c r="K138">
        <v>0</v>
      </c>
      <c r="L138">
        <v>45692</v>
      </c>
      <c r="M138">
        <v>56412</v>
      </c>
      <c r="N138" s="1">
        <v>0.49836938145566789</v>
      </c>
      <c r="O138" s="1">
        <v>0.61529400215961516</v>
      </c>
      <c r="P138" s="1">
        <v>8.3169999999999994E-2</v>
      </c>
      <c r="Q138">
        <v>0.32340908505537419</v>
      </c>
      <c r="R138">
        <v>0</v>
      </c>
      <c r="S138" t="b">
        <v>1</v>
      </c>
      <c r="T138" t="b">
        <v>0</v>
      </c>
      <c r="V138" s="3"/>
      <c r="X138" s="11">
        <f t="shared" si="16"/>
        <v>100000</v>
      </c>
      <c r="AD138" t="b" cm="1">
        <f t="array" ref="AD138">OR(NOT(ISBLANK(Y138:AB138)))</f>
        <v>0</v>
      </c>
      <c r="AE138" t="b">
        <f t="shared" si="17"/>
        <v>1</v>
      </c>
      <c r="AF138" t="b">
        <f t="shared" si="18"/>
        <v>0</v>
      </c>
      <c r="AG138" t="b">
        <f t="shared" si="12"/>
        <v>0</v>
      </c>
    </row>
    <row r="139" spans="1:33" x14ac:dyDescent="0.25">
      <c r="A139" t="s">
        <v>154</v>
      </c>
      <c r="B139">
        <v>1597</v>
      </c>
      <c r="C139">
        <v>87</v>
      </c>
      <c r="D139">
        <v>2468</v>
      </c>
      <c r="E139">
        <v>2428</v>
      </c>
      <c r="F139">
        <v>22786</v>
      </c>
      <c r="G139">
        <v>24063</v>
      </c>
      <c r="H139">
        <v>23890</v>
      </c>
      <c r="I139">
        <v>22681</v>
      </c>
      <c r="J139">
        <v>1684</v>
      </c>
      <c r="K139">
        <v>0</v>
      </c>
      <c r="L139">
        <v>46571</v>
      </c>
      <c r="M139">
        <v>45467</v>
      </c>
      <c r="N139" s="1">
        <v>0.49851209591093987</v>
      </c>
      <c r="O139" s="1">
        <v>0.48669449796617426</v>
      </c>
      <c r="P139" s="1">
        <v>4.8959999999999997E-2</v>
      </c>
      <c r="Q139">
        <v>0.36306177121335059</v>
      </c>
      <c r="R139">
        <v>4.1683023432641156E-16</v>
      </c>
      <c r="S139" t="b">
        <v>1</v>
      </c>
      <c r="T139" t="b">
        <v>0</v>
      </c>
      <c r="V139" s="3"/>
      <c r="X139" s="11">
        <f t="shared" si="16"/>
        <v>100000</v>
      </c>
      <c r="AD139" t="b" cm="1">
        <f t="array" ref="AD139">OR(NOT(ISBLANK(Y139:AB139)))</f>
        <v>0</v>
      </c>
      <c r="AE139" t="b">
        <f t="shared" si="17"/>
        <v>0</v>
      </c>
      <c r="AF139" t="b">
        <f t="shared" si="18"/>
        <v>0</v>
      </c>
      <c r="AG139" t="b">
        <f t="shared" si="12"/>
        <v>0</v>
      </c>
    </row>
    <row r="140" spans="1:33" x14ac:dyDescent="0.25">
      <c r="A140" t="s">
        <v>155</v>
      </c>
      <c r="B140">
        <v>0</v>
      </c>
      <c r="C140">
        <v>0</v>
      </c>
      <c r="D140">
        <v>0</v>
      </c>
      <c r="E140">
        <v>0</v>
      </c>
      <c r="F140">
        <v>49932</v>
      </c>
      <c r="G140">
        <v>50316</v>
      </c>
      <c r="H140">
        <v>50068</v>
      </c>
      <c r="I140">
        <v>49684</v>
      </c>
      <c r="J140">
        <v>0</v>
      </c>
      <c r="K140">
        <v>0</v>
      </c>
      <c r="L140">
        <v>99752</v>
      </c>
      <c r="M140">
        <v>99616</v>
      </c>
      <c r="N140" s="1">
        <v>0.49875999999999998</v>
      </c>
      <c r="O140" s="1">
        <v>0.49808000000000002</v>
      </c>
      <c r="P140" s="1">
        <v>0</v>
      </c>
      <c r="Q140">
        <v>0.26739148054124939</v>
      </c>
      <c r="R140">
        <v>8.592433429973162E-2</v>
      </c>
      <c r="S140" t="b">
        <v>1</v>
      </c>
      <c r="T140" t="b">
        <v>1</v>
      </c>
      <c r="V140" s="3"/>
      <c r="X140" s="11">
        <f t="shared" si="16"/>
        <v>200000</v>
      </c>
      <c r="AD140" t="b" cm="1">
        <f t="array" ref="AD140">OR(NOT(ISBLANK(Y140:AB140)))</f>
        <v>0</v>
      </c>
      <c r="AE140" t="b">
        <f t="shared" si="17"/>
        <v>0</v>
      </c>
      <c r="AF140" t="b">
        <f t="shared" si="18"/>
        <v>0</v>
      </c>
      <c r="AG140" t="b">
        <f t="shared" si="12"/>
        <v>1</v>
      </c>
    </row>
    <row r="141" spans="1:33" x14ac:dyDescent="0.25">
      <c r="A141" t="s">
        <v>156</v>
      </c>
      <c r="B141">
        <v>0</v>
      </c>
      <c r="C141">
        <v>13</v>
      </c>
      <c r="D141">
        <v>51</v>
      </c>
      <c r="E141">
        <v>52</v>
      </c>
      <c r="F141">
        <v>24646</v>
      </c>
      <c r="G141">
        <v>25262</v>
      </c>
      <c r="H141">
        <v>25297</v>
      </c>
      <c r="I141">
        <v>24679</v>
      </c>
      <c r="J141">
        <v>13</v>
      </c>
      <c r="K141">
        <v>124</v>
      </c>
      <c r="L141">
        <v>49976</v>
      </c>
      <c r="M141">
        <v>49325</v>
      </c>
      <c r="N141" s="1">
        <v>0.50034039485803528</v>
      </c>
      <c r="O141" s="1">
        <v>0.49382283448800607</v>
      </c>
      <c r="P141" s="1">
        <v>1.0300000000000001E-3</v>
      </c>
      <c r="Q141">
        <v>0.82964280221624565</v>
      </c>
      <c r="R141">
        <v>9.4414181585784204E-5</v>
      </c>
      <c r="S141" t="b">
        <v>1</v>
      </c>
      <c r="T141" t="b">
        <v>0</v>
      </c>
      <c r="V141" s="3"/>
      <c r="X141" s="11">
        <f t="shared" si="16"/>
        <v>100000</v>
      </c>
      <c r="AD141" t="b" cm="1">
        <f t="array" ref="AD141">OR(NOT(ISBLANK(Y141:AB141)))</f>
        <v>0</v>
      </c>
      <c r="AE141" t="b">
        <f t="shared" si="17"/>
        <v>0</v>
      </c>
      <c r="AF141" t="b">
        <f t="shared" si="18"/>
        <v>0</v>
      </c>
      <c r="AG141" t="b">
        <f t="shared" si="12"/>
        <v>0</v>
      </c>
    </row>
    <row r="142" spans="1:33" x14ac:dyDescent="0.25">
      <c r="A142" t="s">
        <v>157</v>
      </c>
      <c r="B142">
        <v>0</v>
      </c>
      <c r="C142">
        <v>0</v>
      </c>
      <c r="D142">
        <v>2348</v>
      </c>
      <c r="E142">
        <v>2417</v>
      </c>
      <c r="F142">
        <v>22928</v>
      </c>
      <c r="G142">
        <v>24555</v>
      </c>
      <c r="H142">
        <v>24724</v>
      </c>
      <c r="I142">
        <v>23028</v>
      </c>
      <c r="J142">
        <v>0</v>
      </c>
      <c r="K142">
        <v>0</v>
      </c>
      <c r="L142">
        <v>47752</v>
      </c>
      <c r="M142">
        <v>45956</v>
      </c>
      <c r="N142" s="1">
        <v>0.50141229589961678</v>
      </c>
      <c r="O142" s="1">
        <v>0.48255368299469731</v>
      </c>
      <c r="P142" s="1">
        <v>4.7649999999999998E-2</v>
      </c>
      <c r="Q142">
        <v>0.3833863633984444</v>
      </c>
      <c r="R142">
        <v>4.8786904794383367E-27</v>
      </c>
      <c r="S142" t="b">
        <v>1</v>
      </c>
      <c r="T142" t="b">
        <v>0</v>
      </c>
      <c r="V142" s="3"/>
      <c r="X142" s="11">
        <f t="shared" si="16"/>
        <v>100000</v>
      </c>
      <c r="Z142" s="4" t="s">
        <v>159</v>
      </c>
      <c r="AD142" t="b" cm="1">
        <f t="array" ref="AD142">OR(NOT(ISBLANK(Y142:AB142)))</f>
        <v>1</v>
      </c>
      <c r="AE142" t="b">
        <f t="shared" si="17"/>
        <v>0</v>
      </c>
      <c r="AF142" t="b">
        <f t="shared" si="18"/>
        <v>0</v>
      </c>
      <c r="AG142" t="b">
        <f t="shared" si="12"/>
        <v>0</v>
      </c>
    </row>
  </sheetData>
  <autoFilter ref="A1:AI142" xr:uid="{9FA1143D-0630-44D1-88D2-0F6770CCC143}"/>
  <conditionalFormatting sqref="L2:L142">
    <cfRule type="cellIs" dxfId="13" priority="176" operator="lessThan">
      <formula>8000</formula>
    </cfRule>
  </conditionalFormatting>
  <conditionalFormatting sqref="N2:O142">
    <cfRule type="cellIs" dxfId="12" priority="1" stopIfTrue="1" operator="lessThan">
      <formula>0.4</formula>
    </cfRule>
    <cfRule type="cellIs" dxfId="11" priority="2" stopIfTrue="1" operator="greaterThan">
      <formula>0.6</formula>
    </cfRule>
    <cfRule type="cellIs" dxfId="10" priority="3" stopIfTrue="1" operator="lessThan">
      <formula>0.48</formula>
    </cfRule>
    <cfRule type="cellIs" dxfId="9" priority="4" operator="greaterThan">
      <formula>0.52</formula>
    </cfRule>
  </conditionalFormatting>
  <conditionalFormatting sqref="P2:P142">
    <cfRule type="cellIs" dxfId="8" priority="18" operator="greaterThan">
      <formula>0.4</formula>
    </cfRule>
    <cfRule type="cellIs" dxfId="7" priority="19" stopIfTrue="1" operator="greaterThan">
      <formula>0.1</formula>
    </cfRule>
    <cfRule type="cellIs" dxfId="6" priority="20" operator="greaterThan">
      <formula>0.05</formula>
    </cfRule>
  </conditionalFormatting>
  <conditionalFormatting sqref="Q2:R142">
    <cfRule type="cellIs" dxfId="5" priority="15" operator="between">
      <formula>0.05</formula>
      <formula>0.15</formula>
    </cfRule>
    <cfRule type="cellIs" dxfId="4" priority="16" operator="between">
      <formula>0.001</formula>
      <formula>0.05</formula>
    </cfRule>
  </conditionalFormatting>
  <conditionalFormatting sqref="S2:T142">
    <cfRule type="cellIs" dxfId="3" priority="17" operator="equal">
      <formula>FALSE</formula>
    </cfRule>
  </conditionalFormatting>
  <conditionalFormatting sqref="X2:X142">
    <cfRule type="cellIs" dxfId="2" priority="9" stopIfTrue="1" operator="lessThan">
      <formula>60000</formula>
    </cfRule>
    <cfRule type="cellIs" dxfId="1" priority="10" stopIfTrue="1" operator="greaterThanOrEqual">
      <formula>100000</formula>
    </cfRule>
    <cfRule type="cellIs" dxfId="0" priority="11" stopIfTrue="1" operator="greaterThanOrEqual">
      <formula>60000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Fairness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 Davies</cp:lastModifiedBy>
  <dcterms:created xsi:type="dcterms:W3CDTF">2025-12-23T01:34:02Z</dcterms:created>
  <dcterms:modified xsi:type="dcterms:W3CDTF">2026-01-12T12:36:45Z</dcterms:modified>
</cp:coreProperties>
</file>
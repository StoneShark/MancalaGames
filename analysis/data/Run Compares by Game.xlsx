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ivity_Data\Mancala_github\MancalaGames\analysis\data\"/>
    </mc:Choice>
  </mc:AlternateContent>
  <xr:revisionPtr revIDLastSave="0" documentId="13_ncr:1_{823AD570-4758-41CF-B25A-DA313BFCD23F}" xr6:coauthVersionLast="47" xr6:coauthVersionMax="47" xr10:uidLastSave="{00000000-0000-0000-0000-000000000000}"/>
  <bookViews>
    <workbookView xWindow="1965" yWindow="1095" windowWidth="25410" windowHeight="10785" xr2:uid="{EE7FA10B-0919-43FC-ACD9-CA0644430879}"/>
  </bookViews>
  <sheets>
    <sheet name="ai2_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V8" i="1" l="1"/>
  <c r="V9" i="1"/>
  <c r="V73" i="1"/>
  <c r="V30" i="1"/>
  <c r="V31" i="1"/>
  <c r="V32" i="1"/>
  <c r="V22" i="1"/>
  <c r="V23" i="1"/>
  <c r="V24" i="1"/>
  <c r="V25" i="1"/>
  <c r="V26" i="1"/>
  <c r="V27" i="1"/>
  <c r="V28" i="1"/>
  <c r="V72" i="1"/>
  <c r="V71" i="1"/>
  <c r="V70" i="1"/>
  <c r="V56" i="1"/>
  <c r="V69" i="1"/>
  <c r="V68" i="1"/>
  <c r="V67" i="1"/>
  <c r="V65" i="1"/>
  <c r="V57" i="1" l="1"/>
  <c r="V58" i="1"/>
  <c r="V59" i="1"/>
  <c r="V60" i="1"/>
  <c r="V61" i="1"/>
  <c r="V55" i="1"/>
  <c r="V54" i="1"/>
  <c r="V53" i="1"/>
  <c r="V4" i="1"/>
  <c r="V5" i="1"/>
  <c r="V6" i="1"/>
  <c r="V7" i="1"/>
  <c r="V10" i="1"/>
  <c r="V3" i="1"/>
  <c r="V50" i="1"/>
  <c r="V51" i="1"/>
  <c r="V46" i="1"/>
  <c r="V47" i="1"/>
  <c r="V42" i="1" l="1"/>
  <c r="V41" i="1" l="1"/>
  <c r="V37" i="1"/>
  <c r="V38" i="1"/>
  <c r="V39" i="1"/>
  <c r="V40" i="1"/>
  <c r="V43" i="1"/>
  <c r="V20" i="1"/>
  <c r="V21" i="1"/>
  <c r="V29" i="1"/>
  <c r="V33" i="1"/>
  <c r="V34" i="1"/>
  <c r="V36" i="1"/>
  <c r="V44" i="1"/>
  <c r="V45" i="1"/>
  <c r="V48" i="1"/>
  <c r="V49" i="1"/>
  <c r="V13" i="1"/>
  <c r="V15" i="1"/>
  <c r="V16" i="1"/>
  <c r="V17" i="1"/>
  <c r="V18" i="1"/>
  <c r="V52" i="1"/>
  <c r="V19" i="1"/>
</calcChain>
</file>

<file path=xl/sharedStrings.xml><?xml version="1.0" encoding="utf-8"?>
<sst xmlns="http://schemas.openxmlformats.org/spreadsheetml/2006/main" count="94" uniqueCount="89">
  <si>
    <t>LOOPED</t>
  </si>
  <si>
    <t>MAX_TURNS</t>
  </si>
  <si>
    <t>TIE-Sf</t>
  </si>
  <si>
    <t>TIE-St</t>
  </si>
  <si>
    <t>WINf-Sf</t>
  </si>
  <si>
    <t>WINf-St</t>
  </si>
  <si>
    <t>WINt-Sf</t>
  </si>
  <si>
    <t>WINt-St</t>
  </si>
  <si>
    <t>no_result</t>
  </si>
  <si>
    <t>endless</t>
  </si>
  <si>
    <t>t_wins</t>
  </si>
  <si>
    <t>str_wins</t>
  </si>
  <si>
    <t>t_win_pct</t>
  </si>
  <si>
    <t>str_w_pct</t>
  </si>
  <si>
    <t>tie_pct</t>
  </si>
  <si>
    <t>win_pval</t>
  </si>
  <si>
    <t>starter_pval</t>
  </si>
  <si>
    <t>win_fair</t>
  </si>
  <si>
    <t>starter_fair</t>
  </si>
  <si>
    <t>ai2_23</t>
  </si>
  <si>
    <t>Azigo</t>
  </si>
  <si>
    <t>long_ai2_23</t>
  </si>
  <si>
    <t>pick4_25</t>
  </si>
  <si>
    <t>end8_25</t>
  </si>
  <si>
    <t>end4_25</t>
  </si>
  <si>
    <t>pick8_25</t>
  </si>
  <si>
    <t>final 4 seeds hard/impossible to capture</t>
  </si>
  <si>
    <t>end4_hlong</t>
  </si>
  <si>
    <t>need more moves to end games</t>
  </si>
  <si>
    <t>end 4 seeds in play (unclaimed-seeds go to hole owners); max_moves 5000</t>
  </si>
  <si>
    <t>better players extend the game much, much longer???</t>
  </si>
  <si>
    <t>hlong</t>
  </si>
  <si>
    <t>dab 8x2</t>
  </si>
  <si>
    <t>dab 6x2</t>
  </si>
  <si>
    <t>dab10x2 5start</t>
  </si>
  <si>
    <t>COMB dab 2x10 5</t>
  </si>
  <si>
    <t>pickextra = 4</t>
  </si>
  <si>
    <t>capt_side BOTH</t>
  </si>
  <si>
    <t>closer to Ba-awa</t>
  </si>
  <si>
    <t>uncl = divvied</t>
  </si>
  <si>
    <t>uncl = last mover</t>
  </si>
  <si>
    <t>Depouiller</t>
  </si>
  <si>
    <t>with minimaxer</t>
  </si>
  <si>
    <t>Bule Perga - Done</t>
  </si>
  <si>
    <t>Adji_Kui_II - Done</t>
  </si>
  <si>
    <t>Dabuda - Done</t>
  </si>
  <si>
    <t>Winner Starts Rnds</t>
  </si>
  <si>
    <t>Loser Starts Rnds</t>
  </si>
  <si>
    <t>5 rounds to win</t>
  </si>
  <si>
    <t>6 rounds to win</t>
  </si>
  <si>
    <t>Lstart5rnds</t>
  </si>
  <si>
    <t>Lstart5rdsOppCapt</t>
  </si>
  <si>
    <t>random zero start</t>
  </si>
  <si>
    <t>random start</t>
  </si>
  <si>
    <t>rand start/3 trounds</t>
  </si>
  <si>
    <t>rand start/5 trounds</t>
  </si>
  <si>
    <t>r start/5 tr/W start</t>
  </si>
  <si>
    <t>r start /9 tr/alt start</t>
  </si>
  <si>
    <t>long night game - Done</t>
  </si>
  <si>
    <t>Bao_NChildR</t>
  </si>
  <si>
    <t>Bao_NMlapLim</t>
  </si>
  <si>
    <t>Bao_noPres</t>
  </si>
  <si>
    <t>Bao_rfLeft</t>
  </si>
  <si>
    <t>Bao_NChildR_LF</t>
  </si>
  <si>
    <t>Bao_NMlapLim_LF</t>
  </si>
  <si>
    <t>Bao_noPres_LF</t>
  </si>
  <si>
    <t>Bao - test fix</t>
  </si>
  <si>
    <t>UI sets inhibitor when no arrangement, but the test wasn't
lots of endless games but they did not result in ties</t>
  </si>
  <si>
    <t>Bao fix - no_enlesss</t>
  </si>
  <si>
    <t>the number of endless sows goes down without shortening the board</t>
  </si>
  <si>
    <t>if bug, likely artifact of SHORTEN_ALL pos with ARNGE_LIMIT</t>
  </si>
  <si>
    <t>Bao AI depth 3</t>
  </si>
  <si>
    <t>Bao_short</t>
  </si>
  <si>
    <t>round fill SHORT instead SHORT_ALL</t>
  </si>
  <si>
    <t>r start/3 tr/alt start</t>
  </si>
  <si>
    <t>Bao _Done</t>
  </si>
  <si>
    <t>same board size but 1 more start seed per hole</t>
  </si>
  <si>
    <t>8 holes per side with 4 start seeds</t>
  </si>
  <si>
    <t>pick 2x last seeds</t>
  </si>
  <si>
    <t>pickextra of PICK2XLASTSEEDS</t>
  </si>
  <si>
    <t>COMB pick2xlastseeds</t>
  </si>
  <si>
    <t>still a lot of endless games, game updated for these rules</t>
  </si>
  <si>
    <t>rules wrong, need random start</t>
  </si>
  <si>
    <t>nbr games</t>
  </si>
  <si>
    <t>most games didn't finish</t>
  </si>
  <si>
    <t>azigo_long_31</t>
  </si>
  <si>
    <t>azigo_aimx_31</t>
  </si>
  <si>
    <t>max_moves 20_000, only 21 of 100 games finished</t>
  </si>
  <si>
    <t>30 minute run, default depth is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</si>
</sst>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8" tint="-0.499984740745262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0" fontId="17" fillId="17" borderId="10" xfId="27" applyBorder="1" applyAlignment="1">
      <alignment vertical="top"/>
    </xf>
    <xf numFmtId="0" fontId="0" fillId="0" borderId="10" xfId="0" applyBorder="1" applyAlignment="1">
      <alignment vertical="top"/>
    </xf>
    <xf numFmtId="10" fontId="0" fillId="0" borderId="10" xfId="1" applyNumberFormat="1" applyFont="1" applyBorder="1" applyAlignment="1">
      <alignment vertical="top"/>
    </xf>
    <xf numFmtId="10" fontId="0" fillId="0" borderId="0" xfId="1" applyNumberFormat="1" applyFont="1" applyAlignment="1">
      <alignment vertical="top"/>
    </xf>
    <xf numFmtId="0" fontId="17" fillId="25" borderId="10" xfId="35" applyBorder="1" applyAlignment="1">
      <alignment vertical="top"/>
    </xf>
    <xf numFmtId="10" fontId="0" fillId="0" borderId="0" xfId="1" applyNumberFormat="1" applyFont="1" applyBorder="1" applyAlignment="1">
      <alignment vertical="top"/>
    </xf>
    <xf numFmtId="11" fontId="0" fillId="0" borderId="0" xfId="0" applyNumberFormat="1" applyAlignment="1">
      <alignment vertical="top"/>
    </xf>
    <xf numFmtId="0" fontId="0" fillId="33" borderId="0" xfId="0" applyFill="1" applyAlignment="1">
      <alignment vertical="top"/>
    </xf>
    <xf numFmtId="0" fontId="17" fillId="0" borderId="0" xfId="35" applyFill="1" applyBorder="1" applyAlignment="1">
      <alignment vertical="top"/>
    </xf>
    <xf numFmtId="11" fontId="0" fillId="0" borderId="0" xfId="0" applyNumberFormat="1"/>
    <xf numFmtId="0" fontId="0" fillId="34" borderId="0" xfId="0" applyFill="1"/>
    <xf numFmtId="0" fontId="0" fillId="34" borderId="0" xfId="0" applyFill="1" applyAlignment="1">
      <alignment vertical="top"/>
    </xf>
    <xf numFmtId="10" fontId="0" fillId="0" borderId="0" xfId="1" applyNumberFormat="1" applyFont="1"/>
    <xf numFmtId="0" fontId="0" fillId="0" borderId="0" xfId="0" applyAlignment="1">
      <alignment horizontal="left" vertical="top" wrapText="1"/>
    </xf>
    <xf numFmtId="11" fontId="0" fillId="0" borderId="10" xfId="0" applyNumberFormat="1" applyBorder="1" applyAlignment="1">
      <alignment vertical="top"/>
    </xf>
    <xf numFmtId="0" fontId="0" fillId="0" borderId="0" xfId="0" applyBorder="1" applyAlignment="1">
      <alignment vertical="top"/>
    </xf>
    <xf numFmtId="11" fontId="0" fillId="0" borderId="0" xfId="0" applyNumberFormat="1" applyBorder="1" applyAlignment="1">
      <alignment vertical="top"/>
    </xf>
    <xf numFmtId="0" fontId="0" fillId="33" borderId="0" xfId="0" applyFill="1"/>
    <xf numFmtId="0" fontId="0" fillId="0" borderId="0" xfId="0" applyFill="1" applyAlignment="1">
      <alignment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BED1-B13B-4549-A3AD-621BD19F3FAC}">
  <sheetPr>
    <outlinePr summaryBelow="0"/>
  </sheetPr>
  <dimension ref="A1:AC7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X15" sqref="X15"/>
    </sheetView>
  </sheetViews>
  <sheetFormatPr defaultRowHeight="15" outlineLevelRow="1" x14ac:dyDescent="0.25"/>
  <cols>
    <col min="1" max="1" width="23" style="1" customWidth="1"/>
    <col min="2" max="17" width="9.140625" style="1"/>
    <col min="18" max="19" width="10.140625" style="1" customWidth="1"/>
    <col min="20" max="23" width="9.140625" style="1"/>
    <col min="24" max="24" width="59.5703125" style="1" customWidth="1"/>
    <col min="25" max="16384" width="9.140625" style="1"/>
  </cols>
  <sheetData>
    <row r="1" spans="1:24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2" t="s">
        <v>83</v>
      </c>
    </row>
    <row r="2" spans="1:24" ht="15.75" thickBot="1" x14ac:dyDescent="0.3"/>
    <row r="3" spans="1:24" s="4" customFormat="1" ht="15.75" collapsed="1" thickTop="1" x14ac:dyDescent="0.25">
      <c r="A3" s="3" t="s">
        <v>44</v>
      </c>
      <c r="B3" s="4">
        <v>1</v>
      </c>
      <c r="C3" s="4">
        <v>935</v>
      </c>
      <c r="D3" s="4">
        <v>328</v>
      </c>
      <c r="E3" s="4">
        <v>348</v>
      </c>
      <c r="F3" s="4">
        <v>14341</v>
      </c>
      <c r="G3" s="4">
        <v>14431</v>
      </c>
      <c r="H3" s="4">
        <v>14861</v>
      </c>
      <c r="I3" s="4">
        <v>14755</v>
      </c>
      <c r="K3" s="4">
        <v>936</v>
      </c>
      <c r="L3" s="4">
        <v>29616</v>
      </c>
      <c r="M3" s="4">
        <v>29096</v>
      </c>
      <c r="N3" s="5">
        <v>0.50722751250256903</v>
      </c>
      <c r="O3" s="5">
        <v>0.4983215729259437</v>
      </c>
      <c r="P3" s="5">
        <v>1.1266666666666666E-2</v>
      </c>
      <c r="Q3" s="4">
        <v>4.7788462885357222E-4</v>
      </c>
      <c r="R3" s="4">
        <v>0.41728693603218431</v>
      </c>
      <c r="S3" s="4" t="b">
        <v>0</v>
      </c>
      <c r="T3" s="4" t="b">
        <v>1</v>
      </c>
      <c r="V3" s="4">
        <f>SUM(B3:I3)</f>
        <v>60000</v>
      </c>
    </row>
    <row r="4" spans="1:24" hidden="1" outlineLevel="1" x14ac:dyDescent="0.25">
      <c r="V4" s="1">
        <f t="shared" ref="V4:V11" si="0">SUM(B4:I4)</f>
        <v>0</v>
      </c>
    </row>
    <row r="5" spans="1:24" hidden="1" outlineLevel="1" x14ac:dyDescent="0.25">
      <c r="A5" s="1" t="s">
        <v>36</v>
      </c>
      <c r="B5" s="1">
        <v>0</v>
      </c>
      <c r="C5" s="1">
        <v>0</v>
      </c>
      <c r="D5" s="1">
        <v>12</v>
      </c>
      <c r="E5" s="1">
        <v>17</v>
      </c>
      <c r="F5" s="1">
        <v>8123</v>
      </c>
      <c r="G5" s="1">
        <v>11714</v>
      </c>
      <c r="H5" s="1">
        <v>11865</v>
      </c>
      <c r="I5" s="1">
        <v>8269</v>
      </c>
      <c r="J5" s="1">
        <v>0</v>
      </c>
      <c r="K5" s="1">
        <v>344</v>
      </c>
      <c r="L5" s="1">
        <v>20134</v>
      </c>
      <c r="M5" s="1">
        <v>16392</v>
      </c>
      <c r="N5" s="6">
        <v>0.50371519351529803</v>
      </c>
      <c r="O5" s="6">
        <v>0.410097320557404</v>
      </c>
      <c r="P5" s="6">
        <v>7.2499999999999995E-4</v>
      </c>
      <c r="Q5" s="1">
        <v>0.13740120472884099</v>
      </c>
      <c r="R5" s="1">
        <v>5.43242747203085E-283</v>
      </c>
      <c r="S5" s="1" t="b">
        <v>1</v>
      </c>
      <c r="T5" s="1" t="b">
        <v>0</v>
      </c>
      <c r="V5" s="1">
        <f t="shared" si="0"/>
        <v>40000</v>
      </c>
      <c r="X5" s="1" t="s">
        <v>38</v>
      </c>
    </row>
    <row r="6" spans="1:24" hidden="1" outlineLevel="1" x14ac:dyDescent="0.25">
      <c r="A6" s="1" t="s">
        <v>37</v>
      </c>
      <c r="B6" s="1">
        <v>1</v>
      </c>
      <c r="C6" s="1">
        <v>165</v>
      </c>
      <c r="D6" s="1">
        <v>130</v>
      </c>
      <c r="E6" s="1">
        <v>144</v>
      </c>
      <c r="F6" s="1">
        <v>9769</v>
      </c>
      <c r="G6" s="1">
        <v>9731</v>
      </c>
      <c r="H6" s="1">
        <v>10030</v>
      </c>
      <c r="I6" s="1">
        <v>10030</v>
      </c>
      <c r="J6" s="1">
        <v>166</v>
      </c>
      <c r="K6" s="1">
        <v>5861</v>
      </c>
      <c r="L6" s="1">
        <v>20060</v>
      </c>
      <c r="M6" s="1">
        <v>19799</v>
      </c>
      <c r="N6" s="6">
        <v>0.50707785642062597</v>
      </c>
      <c r="O6" s="6">
        <v>0.50048028311425596</v>
      </c>
      <c r="P6" s="6">
        <v>6.8500000000000002E-3</v>
      </c>
      <c r="Q6" s="1">
        <v>4.8697118986613698E-3</v>
      </c>
      <c r="R6" s="1">
        <v>0.848483520607202</v>
      </c>
      <c r="S6" s="1" t="b">
        <v>0</v>
      </c>
      <c r="T6" s="1" t="b">
        <v>1</v>
      </c>
      <c r="V6" s="1">
        <f t="shared" si="0"/>
        <v>40000</v>
      </c>
      <c r="X6" s="1" t="s">
        <v>38</v>
      </c>
    </row>
    <row r="7" spans="1:24" hidden="1" outlineLevel="1" x14ac:dyDescent="0.25">
      <c r="A7" s="1" t="s">
        <v>40</v>
      </c>
      <c r="B7" s="1">
        <v>0</v>
      </c>
      <c r="C7" s="1">
        <v>12</v>
      </c>
      <c r="D7" s="1">
        <v>120</v>
      </c>
      <c r="E7" s="1">
        <v>135</v>
      </c>
      <c r="F7" s="1">
        <v>9705</v>
      </c>
      <c r="G7" s="1">
        <v>9952</v>
      </c>
      <c r="H7" s="1">
        <v>10166</v>
      </c>
      <c r="I7" s="1">
        <v>9910</v>
      </c>
      <c r="J7" s="1">
        <v>12</v>
      </c>
      <c r="K7" s="1">
        <v>4778</v>
      </c>
      <c r="L7" s="1">
        <v>20076</v>
      </c>
      <c r="M7" s="1">
        <v>19615</v>
      </c>
      <c r="N7" s="6">
        <v>0.50527269524073104</v>
      </c>
      <c r="O7" s="6">
        <v>0.49367024891148398</v>
      </c>
      <c r="P7" s="6">
        <v>6.3749999999999996E-3</v>
      </c>
      <c r="Q7" s="1">
        <v>3.5550887734772503E-2</v>
      </c>
      <c r="R7" s="1">
        <v>1.1621418966184001E-2</v>
      </c>
      <c r="S7" s="1" t="b">
        <v>0</v>
      </c>
      <c r="T7" s="1" t="b">
        <v>0</v>
      </c>
      <c r="V7" s="1">
        <f t="shared" si="0"/>
        <v>40000</v>
      </c>
    </row>
    <row r="8" spans="1:24" hidden="1" outlineLevel="1" x14ac:dyDescent="0.25">
      <c r="A8" s="1" t="s">
        <v>39</v>
      </c>
      <c r="B8" s="1">
        <v>1</v>
      </c>
      <c r="C8" s="1">
        <v>5569</v>
      </c>
      <c r="D8" s="1">
        <v>407</v>
      </c>
      <c r="E8" s="1">
        <v>417</v>
      </c>
      <c r="F8" s="1">
        <v>8084</v>
      </c>
      <c r="G8" s="1">
        <v>8180</v>
      </c>
      <c r="H8" s="1">
        <v>8720</v>
      </c>
      <c r="I8" s="1">
        <v>8622</v>
      </c>
      <c r="J8" s="1">
        <v>5570</v>
      </c>
      <c r="K8" s="1">
        <v>15909</v>
      </c>
      <c r="L8" s="1">
        <v>17342</v>
      </c>
      <c r="M8" s="1">
        <v>16706</v>
      </c>
      <c r="N8" s="6">
        <v>0.51603880259477397</v>
      </c>
      <c r="O8" s="6">
        <v>0.49711361066476201</v>
      </c>
      <c r="P8" s="6">
        <v>2.06E-2</v>
      </c>
      <c r="Q8" s="1">
        <v>4.0915969777535599E-9</v>
      </c>
      <c r="R8" s="1">
        <v>0.28993588263716202</v>
      </c>
      <c r="S8" s="1" t="b">
        <v>0</v>
      </c>
      <c r="T8" s="1" t="b">
        <v>1</v>
      </c>
      <c r="V8" s="1">
        <f t="shared" si="0"/>
        <v>40000</v>
      </c>
    </row>
    <row r="9" spans="1:24" hidden="1" outlineLevel="1" x14ac:dyDescent="0.25">
      <c r="A9" s="1" t="s">
        <v>78</v>
      </c>
      <c r="B9" s="1">
        <v>0</v>
      </c>
      <c r="C9" s="1">
        <v>0</v>
      </c>
      <c r="D9" s="1">
        <v>12</v>
      </c>
      <c r="E9" s="1">
        <v>17</v>
      </c>
      <c r="F9" s="1">
        <v>8123</v>
      </c>
      <c r="G9" s="1">
        <v>11714</v>
      </c>
      <c r="H9" s="1">
        <v>11865</v>
      </c>
      <c r="I9" s="1">
        <v>8269</v>
      </c>
      <c r="J9" s="1">
        <v>0</v>
      </c>
      <c r="K9" s="1">
        <v>344</v>
      </c>
      <c r="L9" s="1">
        <v>20134</v>
      </c>
      <c r="M9" s="1">
        <v>16392</v>
      </c>
      <c r="N9" s="6">
        <v>0.50371519351529803</v>
      </c>
      <c r="O9" s="6">
        <v>0.410097320557404</v>
      </c>
      <c r="P9" s="6">
        <v>7.2499999999999995E-4</v>
      </c>
      <c r="Q9" s="1">
        <v>0.13740120472884099</v>
      </c>
      <c r="R9" s="1">
        <v>5.43242747203085E-283</v>
      </c>
      <c r="S9" s="1" t="b">
        <v>1</v>
      </c>
      <c r="T9" s="1" t="b">
        <v>0</v>
      </c>
      <c r="V9" s="1">
        <f t="shared" si="0"/>
        <v>40000</v>
      </c>
      <c r="X9" s="1" t="s">
        <v>79</v>
      </c>
    </row>
    <row r="10" spans="1:24" hidden="1" outlineLevel="1" x14ac:dyDescent="0.25">
      <c r="A10" s="1" t="s">
        <v>78</v>
      </c>
      <c r="B10">
        <v>0</v>
      </c>
      <c r="C10">
        <v>0</v>
      </c>
      <c r="D10">
        <v>38</v>
      </c>
      <c r="E10">
        <v>38</v>
      </c>
      <c r="F10">
        <v>20500</v>
      </c>
      <c r="G10">
        <v>29469</v>
      </c>
      <c r="H10">
        <v>29462</v>
      </c>
      <c r="I10">
        <v>20493</v>
      </c>
      <c r="J10">
        <v>0</v>
      </c>
      <c r="K10">
        <v>822</v>
      </c>
      <c r="L10">
        <v>49955</v>
      </c>
      <c r="M10">
        <v>40993</v>
      </c>
      <c r="N10" s="6">
        <v>0.499929946759537</v>
      </c>
      <c r="O10" s="6">
        <v>0.41024178375565401</v>
      </c>
      <c r="P10" s="6">
        <v>7.6000000000000004E-4</v>
      </c>
      <c r="Q10">
        <v>0.964674262865719</v>
      </c>
      <c r="R10">
        <v>0</v>
      </c>
      <c r="S10" t="b">
        <v>1</v>
      </c>
      <c r="T10" t="b">
        <v>0</v>
      </c>
      <c r="V10" s="1">
        <f t="shared" si="0"/>
        <v>100000</v>
      </c>
    </row>
    <row r="11" spans="1:24" hidden="1" outlineLevel="1" x14ac:dyDescent="0.25">
      <c r="A11" s="14" t="s">
        <v>80</v>
      </c>
      <c r="B11">
        <v>0</v>
      </c>
      <c r="C11">
        <v>0</v>
      </c>
      <c r="D11">
        <v>50</v>
      </c>
      <c r="E11">
        <v>55</v>
      </c>
      <c r="F11">
        <v>28623</v>
      </c>
      <c r="G11">
        <v>41183</v>
      </c>
      <c r="H11">
        <v>41327</v>
      </c>
      <c r="I11">
        <v>28762</v>
      </c>
      <c r="J11">
        <v>0</v>
      </c>
      <c r="K11">
        <v>1166</v>
      </c>
      <c r="L11">
        <v>70089</v>
      </c>
      <c r="M11">
        <v>57385</v>
      </c>
      <c r="N11" s="15">
        <v>0.50101147289038206</v>
      </c>
      <c r="O11" s="15">
        <v>0.41020050752349979</v>
      </c>
      <c r="P11" s="15">
        <v>7.5000000000000002E-4</v>
      </c>
      <c r="Q11">
        <v>0.44926970202151489</v>
      </c>
      <c r="R11">
        <v>0</v>
      </c>
      <c r="S11" t="b">
        <v>1</v>
      </c>
      <c r="T11" t="b">
        <v>0</v>
      </c>
      <c r="V11" s="1">
        <f t="shared" si="0"/>
        <v>140000</v>
      </c>
      <c r="X11" s="14" t="s">
        <v>79</v>
      </c>
    </row>
    <row r="12" spans="1:24" ht="15.75" thickBo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4" s="4" customFormat="1" ht="15.75" thickTop="1" x14ac:dyDescent="0.25">
      <c r="A13" s="7" t="s">
        <v>20</v>
      </c>
      <c r="B13" s="4">
        <v>0</v>
      </c>
      <c r="C13" s="4">
        <v>39679</v>
      </c>
      <c r="D13" s="4">
        <v>0</v>
      </c>
      <c r="E13" s="4">
        <v>0</v>
      </c>
      <c r="F13" s="4">
        <v>35</v>
      </c>
      <c r="G13" s="4">
        <v>43</v>
      </c>
      <c r="H13" s="4">
        <v>108</v>
      </c>
      <c r="I13" s="4">
        <v>135</v>
      </c>
      <c r="J13" s="4">
        <v>39679</v>
      </c>
      <c r="K13" s="4">
        <v>0</v>
      </c>
      <c r="L13" s="4">
        <v>243</v>
      </c>
      <c r="M13" s="4">
        <v>170</v>
      </c>
      <c r="N13" s="5">
        <v>0.75700934600000003</v>
      </c>
      <c r="O13" s="5">
        <v>0.52959501600000003</v>
      </c>
      <c r="P13" s="5">
        <v>0</v>
      </c>
      <c r="Q13" s="17">
        <v>3.28E-20</v>
      </c>
      <c r="R13" s="4">
        <v>0.28892783599999999</v>
      </c>
      <c r="S13" s="4" t="b">
        <v>0</v>
      </c>
      <c r="T13" s="4" t="b">
        <v>1</v>
      </c>
      <c r="V13" s="4">
        <f t="shared" ref="V13:V19" si="1">SUM(B13:I13)</f>
        <v>40000</v>
      </c>
      <c r="X13" s="4" t="s">
        <v>84</v>
      </c>
    </row>
    <row r="14" spans="1:24" s="18" customFormat="1" x14ac:dyDescent="0.25">
      <c r="A14" s="11"/>
      <c r="N14" s="8"/>
      <c r="O14" s="8"/>
      <c r="P14" s="8"/>
      <c r="Q14" s="19"/>
    </row>
    <row r="15" spans="1:24" outlineLevel="1" x14ac:dyDescent="0.25">
      <c r="A15" s="1" t="s">
        <v>85</v>
      </c>
      <c r="B15">
        <v>0</v>
      </c>
      <c r="C15" s="20">
        <v>68</v>
      </c>
      <c r="D15">
        <v>0</v>
      </c>
      <c r="E15">
        <v>0</v>
      </c>
      <c r="F15">
        <v>5</v>
      </c>
      <c r="G15">
        <v>6</v>
      </c>
      <c r="H15">
        <v>11</v>
      </c>
      <c r="I15">
        <v>10</v>
      </c>
      <c r="J15">
        <v>68</v>
      </c>
      <c r="K15">
        <v>0</v>
      </c>
      <c r="L15">
        <v>21</v>
      </c>
      <c r="M15">
        <v>15</v>
      </c>
      <c r="N15">
        <v>0.65625</v>
      </c>
      <c r="O15">
        <v>0.46875</v>
      </c>
      <c r="P15">
        <v>0</v>
      </c>
      <c r="Q15">
        <v>7.7099871743542006E-2</v>
      </c>
      <c r="R15">
        <v>0.72367360983176199</v>
      </c>
      <c r="S15" t="b">
        <v>1</v>
      </c>
      <c r="T15" t="b">
        <v>1</v>
      </c>
      <c r="V15" s="21">
        <f t="shared" si="1"/>
        <v>100</v>
      </c>
      <c r="X15" s="1" t="s">
        <v>87</v>
      </c>
    </row>
    <row r="16" spans="1:24" outlineLevel="1" x14ac:dyDescent="0.25">
      <c r="A16" s="1" t="s">
        <v>86</v>
      </c>
      <c r="B16">
        <v>0</v>
      </c>
      <c r="C16">
        <v>11</v>
      </c>
      <c r="D16">
        <v>0</v>
      </c>
      <c r="E16">
        <v>0</v>
      </c>
      <c r="F16">
        <v>41</v>
      </c>
      <c r="G16">
        <v>43</v>
      </c>
      <c r="H16">
        <v>4</v>
      </c>
      <c r="I16">
        <v>1</v>
      </c>
      <c r="J16">
        <v>11</v>
      </c>
      <c r="K16">
        <v>0</v>
      </c>
      <c r="L16">
        <v>5</v>
      </c>
      <c r="M16">
        <v>42</v>
      </c>
      <c r="N16">
        <v>5.6179775280898799E-2</v>
      </c>
      <c r="O16">
        <v>0.47191011235954999</v>
      </c>
      <c r="P16">
        <v>0</v>
      </c>
      <c r="Q16" s="12">
        <v>5.5702678794269305E-17</v>
      </c>
      <c r="R16">
        <v>0.596112665723323</v>
      </c>
      <c r="S16" t="b">
        <v>0</v>
      </c>
      <c r="T16" t="b">
        <v>1</v>
      </c>
      <c r="V16" s="1">
        <f t="shared" si="1"/>
        <v>100</v>
      </c>
      <c r="X16" s="1" t="s">
        <v>88</v>
      </c>
    </row>
    <row r="17" spans="1:29" outlineLevel="1" x14ac:dyDescent="0.25">
      <c r="N17" s="6"/>
      <c r="O17" s="6"/>
      <c r="P17" s="6"/>
      <c r="V17" s="1">
        <f t="shared" si="1"/>
        <v>0</v>
      </c>
    </row>
    <row r="18" spans="1:29" ht="15.75" thickBot="1" x14ac:dyDescent="0.3">
      <c r="N18" s="6"/>
      <c r="O18" s="6"/>
      <c r="P18" s="6"/>
      <c r="V18" s="1">
        <f t="shared" si="1"/>
        <v>0</v>
      </c>
    </row>
    <row r="19" spans="1:29" s="4" customFormat="1" ht="15.75" collapsed="1" thickTop="1" x14ac:dyDescent="0.25">
      <c r="A19" s="3" t="s">
        <v>75</v>
      </c>
      <c r="B19" s="4">
        <v>80</v>
      </c>
      <c r="C19" s="4">
        <v>2</v>
      </c>
      <c r="D19" s="4">
        <v>1</v>
      </c>
      <c r="E19" s="4">
        <v>0</v>
      </c>
      <c r="F19" s="4">
        <v>16777</v>
      </c>
      <c r="G19" s="4">
        <v>14362</v>
      </c>
      <c r="H19" s="4">
        <v>13188</v>
      </c>
      <c r="I19" s="4">
        <v>15590</v>
      </c>
      <c r="J19" s="4">
        <v>82</v>
      </c>
      <c r="L19" s="4">
        <v>28778</v>
      </c>
      <c r="M19" s="4">
        <v>32367</v>
      </c>
      <c r="N19" s="5">
        <v>0.48029774521421298</v>
      </c>
      <c r="O19" s="5">
        <v>0.5401972728941703</v>
      </c>
      <c r="P19" s="5">
        <v>1.6666666666666667E-5</v>
      </c>
      <c r="Q19" s="4">
        <v>5.1402423345488905E-22</v>
      </c>
      <c r="R19" s="4">
        <v>3.2679030252064863E-86</v>
      </c>
      <c r="S19" s="4" t="b">
        <v>0</v>
      </c>
      <c r="T19" s="4" t="b">
        <v>0</v>
      </c>
      <c r="V19" s="4">
        <f t="shared" si="1"/>
        <v>60000</v>
      </c>
    </row>
    <row r="20" spans="1:29" hidden="1" outlineLevel="1" x14ac:dyDescent="0.25">
      <c r="N20" s="6"/>
      <c r="O20" s="6"/>
      <c r="P20" s="6"/>
      <c r="V20" s="1">
        <f t="shared" ref="V20:V52" si="2">SUM(B20:I20)</f>
        <v>0</v>
      </c>
    </row>
    <row r="21" spans="1:29" hidden="1" outlineLevel="1" x14ac:dyDescent="0.25">
      <c r="A21" s="1" t="s">
        <v>19</v>
      </c>
      <c r="B21" s="1">
        <v>8721</v>
      </c>
      <c r="C21" s="1">
        <v>0</v>
      </c>
      <c r="D21" s="1">
        <v>0</v>
      </c>
      <c r="E21" s="1">
        <v>0</v>
      </c>
      <c r="F21" s="1">
        <v>4403</v>
      </c>
      <c r="G21" s="1">
        <v>4786</v>
      </c>
      <c r="H21" s="1">
        <v>1263</v>
      </c>
      <c r="I21" s="1">
        <v>827</v>
      </c>
      <c r="J21" s="1">
        <v>8721</v>
      </c>
      <c r="K21" s="1">
        <v>4986</v>
      </c>
      <c r="L21" s="1">
        <v>2090</v>
      </c>
      <c r="M21" s="1">
        <v>5230</v>
      </c>
      <c r="N21" s="6">
        <v>0.185300115258444</v>
      </c>
      <c r="O21" s="6">
        <v>0.46369358985725601</v>
      </c>
      <c r="P21" s="6">
        <v>0</v>
      </c>
      <c r="Q21" s="1">
        <v>0</v>
      </c>
      <c r="R21" s="1">
        <v>1.24179018140467E-14</v>
      </c>
      <c r="S21" s="1" t="b">
        <v>0</v>
      </c>
      <c r="T21" s="1" t="b">
        <v>0</v>
      </c>
      <c r="V21" s="1">
        <f t="shared" si="2"/>
        <v>20000</v>
      </c>
    </row>
    <row r="22" spans="1:29" hidden="1" outlineLevel="1" x14ac:dyDescent="0.25">
      <c r="A22" s="1" t="s">
        <v>59</v>
      </c>
      <c r="B22" s="1">
        <v>110</v>
      </c>
      <c r="C22" s="1">
        <v>1</v>
      </c>
      <c r="D22" s="1">
        <v>0</v>
      </c>
      <c r="E22" s="1">
        <v>0</v>
      </c>
      <c r="F22" s="1">
        <v>22530</v>
      </c>
      <c r="G22" s="1">
        <v>19082</v>
      </c>
      <c r="H22" s="1">
        <v>17405</v>
      </c>
      <c r="I22" s="1">
        <v>20872</v>
      </c>
      <c r="J22" s="1">
        <v>111</v>
      </c>
      <c r="K22" s="1">
        <v>15336</v>
      </c>
      <c r="L22" s="1">
        <v>38277</v>
      </c>
      <c r="M22" s="1">
        <v>43402</v>
      </c>
      <c r="N22" s="6">
        <v>0.47912728911364516</v>
      </c>
      <c r="O22" s="6">
        <v>0.54327879933407608</v>
      </c>
      <c r="P22" s="6">
        <v>0</v>
      </c>
      <c r="Q22" s="1">
        <v>3.9406724877505981E-32</v>
      </c>
      <c r="R22" s="1">
        <v>3.4681739417653406E-132</v>
      </c>
      <c r="S22" s="1" t="b">
        <v>0</v>
      </c>
      <c r="T22" s="1" t="b">
        <v>0</v>
      </c>
      <c r="V22" s="1">
        <f t="shared" si="2"/>
        <v>80000</v>
      </c>
    </row>
    <row r="23" spans="1:29" hidden="1" outlineLevel="1" x14ac:dyDescent="0.25">
      <c r="A23" s="1" t="s">
        <v>60</v>
      </c>
      <c r="B23" s="1">
        <v>296</v>
      </c>
      <c r="C23" s="1">
        <v>0</v>
      </c>
      <c r="D23" s="1">
        <v>0</v>
      </c>
      <c r="E23" s="1">
        <v>1</v>
      </c>
      <c r="F23" s="1">
        <v>21632</v>
      </c>
      <c r="G23" s="1">
        <v>15991</v>
      </c>
      <c r="H23" s="1">
        <v>18224</v>
      </c>
      <c r="I23" s="1">
        <v>23856</v>
      </c>
      <c r="J23" s="1">
        <v>296</v>
      </c>
      <c r="K23" s="1">
        <v>11090</v>
      </c>
      <c r="L23" s="1">
        <v>42080</v>
      </c>
      <c r="M23" s="1">
        <v>45488</v>
      </c>
      <c r="N23" s="6">
        <v>0.52796005169190618</v>
      </c>
      <c r="O23" s="6">
        <v>0.57071879352094657</v>
      </c>
      <c r="P23" s="6">
        <v>1.2500000000000001E-5</v>
      </c>
      <c r="Q23" s="1">
        <v>3.8108442475423433E-56</v>
      </c>
      <c r="R23" s="1">
        <v>0</v>
      </c>
      <c r="S23" s="1" t="b">
        <v>0</v>
      </c>
      <c r="T23" s="1" t="b">
        <v>0</v>
      </c>
      <c r="V23" s="1">
        <f t="shared" si="2"/>
        <v>80000</v>
      </c>
    </row>
    <row r="24" spans="1:29" hidden="1" outlineLevel="1" x14ac:dyDescent="0.25">
      <c r="A24" s="1" t="s">
        <v>61</v>
      </c>
      <c r="B24" s="1">
        <v>144</v>
      </c>
      <c r="C24" s="1">
        <v>0</v>
      </c>
      <c r="D24" s="1">
        <v>2</v>
      </c>
      <c r="E24" s="1">
        <v>0</v>
      </c>
      <c r="F24" s="1">
        <v>22278</v>
      </c>
      <c r="G24" s="1">
        <v>19091</v>
      </c>
      <c r="H24" s="1">
        <v>17658</v>
      </c>
      <c r="I24" s="1">
        <v>20827</v>
      </c>
      <c r="J24" s="1">
        <v>144</v>
      </c>
      <c r="K24" s="1">
        <v>15561</v>
      </c>
      <c r="L24" s="1">
        <v>38485</v>
      </c>
      <c r="M24" s="1">
        <v>43105</v>
      </c>
      <c r="N24" s="6">
        <v>0.48194204423072107</v>
      </c>
      <c r="O24" s="6">
        <v>0.53979763067598363</v>
      </c>
      <c r="P24" s="6">
        <v>2.5000000000000001E-5</v>
      </c>
      <c r="Q24" s="1">
        <v>1.8678163205624303E-24</v>
      </c>
      <c r="R24" s="1">
        <v>4.9276125921302882E-112</v>
      </c>
      <c r="S24" s="1" t="b">
        <v>0</v>
      </c>
      <c r="T24" s="1" t="b">
        <v>0</v>
      </c>
      <c r="V24" s="1">
        <f t="shared" si="2"/>
        <v>80000</v>
      </c>
    </row>
    <row r="25" spans="1:29" hidden="1" outlineLevel="1" x14ac:dyDescent="0.25">
      <c r="A25" s="1" t="s">
        <v>62</v>
      </c>
      <c r="B25" s="1">
        <v>0</v>
      </c>
      <c r="C25" s="1">
        <v>1418</v>
      </c>
      <c r="D25" s="1">
        <v>4</v>
      </c>
      <c r="E25" s="1">
        <v>5</v>
      </c>
      <c r="F25" s="1">
        <v>19979</v>
      </c>
      <c r="G25" s="1">
        <v>19218</v>
      </c>
      <c r="H25" s="1">
        <v>19302</v>
      </c>
      <c r="I25" s="1">
        <v>20074</v>
      </c>
      <c r="J25" s="1">
        <v>1418</v>
      </c>
      <c r="K25" s="1">
        <v>619</v>
      </c>
      <c r="L25" s="1">
        <v>39376</v>
      </c>
      <c r="M25" s="1">
        <v>40053</v>
      </c>
      <c r="N25" s="6">
        <v>0.50113906812772835</v>
      </c>
      <c r="O25" s="6">
        <v>0.50975525944026578</v>
      </c>
      <c r="P25" s="6">
        <v>1.125E-4</v>
      </c>
      <c r="Q25" s="1">
        <v>0.52309519011263372</v>
      </c>
      <c r="R25" s="1">
        <v>4.5266008129057406E-8</v>
      </c>
      <c r="S25" s="1" t="b">
        <v>1</v>
      </c>
      <c r="T25" s="1" t="b">
        <v>0</v>
      </c>
      <c r="V25" s="1">
        <f t="shared" si="2"/>
        <v>80000</v>
      </c>
      <c r="X25" s="1" t="s">
        <v>69</v>
      </c>
    </row>
    <row r="26" spans="1:29" hidden="1" outlineLevel="1" x14ac:dyDescent="0.25">
      <c r="A26" s="1" t="s">
        <v>63</v>
      </c>
      <c r="B26" s="1">
        <v>0</v>
      </c>
      <c r="C26" s="1">
        <v>1520</v>
      </c>
      <c r="D26" s="1">
        <v>10</v>
      </c>
      <c r="E26" s="1">
        <v>3</v>
      </c>
      <c r="F26" s="1">
        <v>20080</v>
      </c>
      <c r="G26" s="1">
        <v>18929</v>
      </c>
      <c r="H26" s="1">
        <v>19128</v>
      </c>
      <c r="I26" s="1">
        <v>20330</v>
      </c>
      <c r="J26" s="1">
        <v>1520</v>
      </c>
      <c r="K26" s="1">
        <v>595</v>
      </c>
      <c r="L26" s="1">
        <v>39458</v>
      </c>
      <c r="M26" s="1">
        <v>40410</v>
      </c>
      <c r="N26" s="6">
        <v>0.50286107535651903</v>
      </c>
      <c r="O26" s="6">
        <v>0.51499356417347397</v>
      </c>
      <c r="P26" s="1">
        <v>1.6249999999999999E-4</v>
      </c>
      <c r="Q26" s="1">
        <v>0.10895967764282199</v>
      </c>
      <c r="R26" s="9">
        <v>4.4654359771986497E-17</v>
      </c>
      <c r="S26" s="1" t="b">
        <v>1</v>
      </c>
      <c r="T26" s="1" t="b">
        <v>0</v>
      </c>
      <c r="V26" s="1">
        <f t="shared" si="2"/>
        <v>80000</v>
      </c>
    </row>
    <row r="27" spans="1:29" hidden="1" outlineLevel="1" x14ac:dyDescent="0.25">
      <c r="A27" s="1" t="s">
        <v>64</v>
      </c>
      <c r="B27" s="1">
        <v>0</v>
      </c>
      <c r="C27" s="1">
        <v>885</v>
      </c>
      <c r="D27" s="1">
        <v>7</v>
      </c>
      <c r="E27" s="1">
        <v>3</v>
      </c>
      <c r="F27" s="1">
        <v>20669</v>
      </c>
      <c r="G27" s="1">
        <v>19022</v>
      </c>
      <c r="H27" s="1">
        <v>18867</v>
      </c>
      <c r="I27" s="1">
        <v>20547</v>
      </c>
      <c r="J27" s="1">
        <v>885</v>
      </c>
      <c r="K27" s="1">
        <v>457</v>
      </c>
      <c r="L27" s="1">
        <v>39414</v>
      </c>
      <c r="M27" s="1">
        <v>41216</v>
      </c>
      <c r="N27" s="6">
        <v>0.49824916250552997</v>
      </c>
      <c r="O27" s="6">
        <v>0.52102901207256103</v>
      </c>
      <c r="P27" s="1">
        <v>1.25E-4</v>
      </c>
      <c r="Q27" s="1">
        <v>0.32468916435695899</v>
      </c>
      <c r="R27" s="9">
        <v>2.76163992897559E-32</v>
      </c>
      <c r="S27" s="1" t="b">
        <v>1</v>
      </c>
      <c r="T27" s="1" t="b">
        <v>0</v>
      </c>
      <c r="V27" s="1">
        <f t="shared" si="2"/>
        <v>80000</v>
      </c>
      <c r="X27" s="1" t="s">
        <v>70</v>
      </c>
    </row>
    <row r="28" spans="1:29" hidden="1" outlineLevel="1" x14ac:dyDescent="0.25">
      <c r="A28" s="1" t="s">
        <v>65</v>
      </c>
      <c r="B28" s="1">
        <v>0</v>
      </c>
      <c r="C28" s="1">
        <v>1376</v>
      </c>
      <c r="D28" s="1">
        <v>3</v>
      </c>
      <c r="E28" s="1">
        <v>5</v>
      </c>
      <c r="F28" s="1">
        <v>20100</v>
      </c>
      <c r="G28" s="1">
        <v>19112</v>
      </c>
      <c r="H28" s="1">
        <v>19221</v>
      </c>
      <c r="I28" s="1">
        <v>20183</v>
      </c>
      <c r="J28" s="1">
        <v>1376</v>
      </c>
      <c r="K28" s="1">
        <v>618</v>
      </c>
      <c r="L28" s="1">
        <v>39404</v>
      </c>
      <c r="M28" s="1">
        <v>40283</v>
      </c>
      <c r="N28" s="6">
        <v>0.50122112547064201</v>
      </c>
      <c r="O28" s="6">
        <v>0.51240205556120799</v>
      </c>
      <c r="P28" s="1">
        <v>1E-4</v>
      </c>
      <c r="Q28" s="1">
        <v>0.49348804236548799</v>
      </c>
      <c r="R28" s="9">
        <v>3.5328342150593901E-12</v>
      </c>
      <c r="S28" s="1" t="b">
        <v>1</v>
      </c>
      <c r="T28" s="1" t="b">
        <v>0</v>
      </c>
      <c r="V28" s="1">
        <f t="shared" si="2"/>
        <v>80000</v>
      </c>
    </row>
    <row r="29" spans="1:29" ht="30.75" hidden="1" customHeight="1" outlineLevel="1" x14ac:dyDescent="0.25">
      <c r="A29" s="1" t="s">
        <v>66</v>
      </c>
      <c r="B29" s="1">
        <v>165</v>
      </c>
      <c r="C29" s="1">
        <v>3</v>
      </c>
      <c r="D29" s="10">
        <v>6</v>
      </c>
      <c r="E29" s="10">
        <v>8</v>
      </c>
      <c r="F29" s="1">
        <v>22226</v>
      </c>
      <c r="G29" s="1">
        <v>29574</v>
      </c>
      <c r="H29" s="1">
        <v>27677</v>
      </c>
      <c r="I29" s="1">
        <v>20341</v>
      </c>
      <c r="J29" s="1">
        <v>168</v>
      </c>
      <c r="K29" s="10">
        <v>19277</v>
      </c>
      <c r="L29" s="1">
        <v>48018</v>
      </c>
      <c r="M29" s="1">
        <v>42567</v>
      </c>
      <c r="N29" s="6">
        <v>0.48105552104830701</v>
      </c>
      <c r="O29" s="6">
        <v>0.42644613196016701</v>
      </c>
      <c r="P29" s="1">
        <v>1.3999999999999999E-4</v>
      </c>
      <c r="Q29" s="1">
        <v>5.06411893523316E-33</v>
      </c>
      <c r="R29" s="1">
        <v>0</v>
      </c>
      <c r="S29" s="1" t="b">
        <v>0</v>
      </c>
      <c r="T29" s="1" t="b">
        <v>0</v>
      </c>
      <c r="V29" s="1">
        <f t="shared" si="2"/>
        <v>100000</v>
      </c>
      <c r="X29" s="16" t="s">
        <v>67</v>
      </c>
      <c r="Y29" s="16"/>
      <c r="Z29" s="16"/>
      <c r="AA29" s="16"/>
      <c r="AB29" s="16"/>
      <c r="AC29" s="16"/>
    </row>
    <row r="30" spans="1:29" hidden="1" outlineLevel="1" x14ac:dyDescent="0.25">
      <c r="A30" s="1" t="s">
        <v>68</v>
      </c>
      <c r="B30" s="1">
        <v>305</v>
      </c>
      <c r="C30" s="1">
        <v>3</v>
      </c>
      <c r="D30" s="1">
        <v>0</v>
      </c>
      <c r="E30" s="1">
        <v>0</v>
      </c>
      <c r="F30" s="1">
        <v>13817</v>
      </c>
      <c r="G30" s="1">
        <v>17903</v>
      </c>
      <c r="H30" s="1">
        <v>16016</v>
      </c>
      <c r="I30" s="1">
        <v>11956</v>
      </c>
      <c r="J30" s="1">
        <v>308</v>
      </c>
      <c r="K30" s="1">
        <v>0</v>
      </c>
      <c r="L30" s="1">
        <v>27972</v>
      </c>
      <c r="M30" s="1">
        <v>25773</v>
      </c>
      <c r="N30" s="6">
        <v>0.46860550827581499</v>
      </c>
      <c r="O30" s="6">
        <v>0.43176640085773599</v>
      </c>
      <c r="P30" s="1">
        <v>0</v>
      </c>
      <c r="Q30" s="1">
        <v>4.09578141494849E-53</v>
      </c>
      <c r="R30" s="1">
        <v>9.6443238502839799E-244</v>
      </c>
      <c r="S30" s="1" t="b">
        <v>0</v>
      </c>
      <c r="T30" s="1" t="b">
        <v>0</v>
      </c>
      <c r="V30" s="1">
        <f t="shared" si="2"/>
        <v>60000</v>
      </c>
    </row>
    <row r="31" spans="1:29" hidden="1" outlineLevel="1" x14ac:dyDescent="0.25">
      <c r="A31" s="1" t="s">
        <v>71</v>
      </c>
      <c r="B31" s="1">
        <v>31335</v>
      </c>
      <c r="C31" s="1">
        <v>0</v>
      </c>
      <c r="D31" s="1">
        <v>0</v>
      </c>
      <c r="E31" s="1">
        <v>0</v>
      </c>
      <c r="F31" s="1">
        <v>6992</v>
      </c>
      <c r="G31" s="1">
        <v>11345</v>
      </c>
      <c r="H31" s="1">
        <v>9212</v>
      </c>
      <c r="I31" s="1">
        <v>1116</v>
      </c>
      <c r="J31" s="1">
        <v>31335</v>
      </c>
      <c r="K31" s="1">
        <v>8648</v>
      </c>
      <c r="L31" s="1">
        <v>10328</v>
      </c>
      <c r="M31" s="1">
        <v>8108</v>
      </c>
      <c r="N31" s="6">
        <v>0.36030001744287399</v>
      </c>
      <c r="O31" s="6">
        <v>0.28285365428222498</v>
      </c>
      <c r="P31" s="1">
        <v>0</v>
      </c>
      <c r="Q31" s="1">
        <v>0</v>
      </c>
      <c r="R31" s="1">
        <v>0</v>
      </c>
      <c r="S31" s="1" t="b">
        <v>0</v>
      </c>
      <c r="T31" s="1" t="b">
        <v>0</v>
      </c>
      <c r="V31" s="1">
        <f>SUM(B31:H31)</f>
        <v>58884</v>
      </c>
    </row>
    <row r="32" spans="1:29" hidden="1" outlineLevel="1" x14ac:dyDescent="0.25">
      <c r="A32" s="13" t="s">
        <v>72</v>
      </c>
      <c r="B32">
        <v>336</v>
      </c>
      <c r="C32">
        <v>1</v>
      </c>
      <c r="D32">
        <v>27</v>
      </c>
      <c r="E32">
        <v>26</v>
      </c>
      <c r="F32">
        <v>42332</v>
      </c>
      <c r="G32">
        <v>57360</v>
      </c>
      <c r="H32">
        <v>57472</v>
      </c>
      <c r="I32">
        <v>42446</v>
      </c>
      <c r="J32">
        <v>337</v>
      </c>
      <c r="K32">
        <v>30524</v>
      </c>
      <c r="L32">
        <v>99918</v>
      </c>
      <c r="M32">
        <v>84778</v>
      </c>
      <c r="N32" s="6">
        <v>0.50056610390261014</v>
      </c>
      <c r="O32" s="6">
        <v>0.42471820049095738</v>
      </c>
      <c r="P32">
        <v>2.6499999999999999E-4</v>
      </c>
      <c r="Q32">
        <v>0.61296560411687151</v>
      </c>
      <c r="R32" s="12">
        <v>0</v>
      </c>
      <c r="S32" t="b">
        <v>1</v>
      </c>
      <c r="T32" t="b">
        <v>0</v>
      </c>
      <c r="V32" s="1">
        <f t="shared" si="2"/>
        <v>200000</v>
      </c>
      <c r="X32" s="14" t="s">
        <v>73</v>
      </c>
    </row>
    <row r="33" spans="1:24" ht="15.75" thickBot="1" x14ac:dyDescent="0.3">
      <c r="V33" s="1">
        <f t="shared" si="2"/>
        <v>0</v>
      </c>
    </row>
    <row r="34" spans="1:24" s="4" customFormat="1" ht="15.75" collapsed="1" thickTop="1" x14ac:dyDescent="0.25">
      <c r="A34" s="3" t="s">
        <v>43</v>
      </c>
      <c r="B34" s="4">
        <v>0</v>
      </c>
      <c r="C34" s="4">
        <v>11089</v>
      </c>
      <c r="D34" s="4">
        <v>170</v>
      </c>
      <c r="E34" s="4">
        <v>189</v>
      </c>
      <c r="F34" s="4">
        <v>3410</v>
      </c>
      <c r="G34" s="4">
        <v>895</v>
      </c>
      <c r="H34" s="4">
        <v>857</v>
      </c>
      <c r="I34" s="4">
        <v>3390</v>
      </c>
      <c r="J34" s="4">
        <v>11089</v>
      </c>
      <c r="L34" s="4">
        <v>4247</v>
      </c>
      <c r="M34" s="4">
        <v>6800</v>
      </c>
      <c r="N34" s="5">
        <v>0.49660898035547202</v>
      </c>
      <c r="O34" s="5">
        <v>0.79513564078578103</v>
      </c>
      <c r="P34" s="5">
        <v>1.7950000000000001E-2</v>
      </c>
      <c r="Q34" s="4">
        <v>0.53053940909766895</v>
      </c>
      <c r="R34" s="4">
        <v>0</v>
      </c>
      <c r="S34" s="4" t="b">
        <v>1</v>
      </c>
      <c r="T34" s="4" t="b">
        <v>0</v>
      </c>
      <c r="V34" s="4">
        <f t="shared" si="2"/>
        <v>20000</v>
      </c>
      <c r="X34" s="4" t="s">
        <v>26</v>
      </c>
    </row>
    <row r="35" spans="1:24" hidden="1" outlineLevel="1" x14ac:dyDescent="0.25">
      <c r="A35" s="11"/>
      <c r="N35" s="8"/>
      <c r="O35" s="8"/>
      <c r="P35" s="8"/>
    </row>
    <row r="36" spans="1:24" hidden="1" outlineLevel="1" x14ac:dyDescent="0.25">
      <c r="A36" s="1" t="s">
        <v>21</v>
      </c>
      <c r="B36" s="1">
        <v>202</v>
      </c>
      <c r="C36" s="1">
        <v>9943</v>
      </c>
      <c r="D36" s="1">
        <v>596</v>
      </c>
      <c r="E36" s="1">
        <v>845</v>
      </c>
      <c r="F36" s="1">
        <v>3384</v>
      </c>
      <c r="G36" s="1">
        <v>651</v>
      </c>
      <c r="H36" s="1">
        <v>630</v>
      </c>
      <c r="I36" s="1">
        <v>3749</v>
      </c>
      <c r="J36" s="1">
        <v>10145</v>
      </c>
      <c r="K36" s="1">
        <v>0</v>
      </c>
      <c r="L36" s="1">
        <v>4379</v>
      </c>
      <c r="M36" s="1">
        <v>7133</v>
      </c>
      <c r="N36" s="8">
        <v>0.52044212027573</v>
      </c>
      <c r="O36" s="8">
        <v>0.84775374376039903</v>
      </c>
      <c r="P36" s="8">
        <v>7.2050000000000003E-2</v>
      </c>
      <c r="Q36" s="1">
        <v>1.76676796030785E-4</v>
      </c>
      <c r="R36" s="1">
        <v>0</v>
      </c>
      <c r="S36" s="1" t="b">
        <v>0</v>
      </c>
      <c r="T36" s="1" t="b">
        <v>0</v>
      </c>
      <c r="V36" s="1">
        <f t="shared" si="2"/>
        <v>20000</v>
      </c>
      <c r="X36" s="1" t="s">
        <v>30</v>
      </c>
    </row>
    <row r="37" spans="1:24" hidden="1" outlineLevel="1" x14ac:dyDescent="0.25">
      <c r="A37" s="1" t="s">
        <v>22</v>
      </c>
      <c r="B37" s="1">
        <v>0</v>
      </c>
      <c r="C37" s="1">
        <v>8716</v>
      </c>
      <c r="D37" s="1">
        <v>3556</v>
      </c>
      <c r="E37" s="1">
        <v>3598</v>
      </c>
      <c r="F37" s="1">
        <v>8748</v>
      </c>
      <c r="G37" s="1">
        <v>3349</v>
      </c>
      <c r="H37" s="1">
        <v>3303</v>
      </c>
      <c r="I37" s="1">
        <v>8730</v>
      </c>
      <c r="J37" s="1">
        <v>8716</v>
      </c>
      <c r="K37" s="1">
        <v>81</v>
      </c>
      <c r="L37" s="1">
        <v>12033</v>
      </c>
      <c r="M37" s="1">
        <v>17478</v>
      </c>
      <c r="N37" s="6">
        <v>0.49867384997927799</v>
      </c>
      <c r="O37" s="6">
        <v>0.72432656444260202</v>
      </c>
      <c r="P37" s="6">
        <v>0.17885000000000001</v>
      </c>
      <c r="Q37" s="1">
        <v>0.68033657443751105</v>
      </c>
      <c r="R37" s="1">
        <v>0</v>
      </c>
      <c r="S37" s="1" t="b">
        <v>1</v>
      </c>
      <c r="T37" s="1" t="b">
        <v>0</v>
      </c>
      <c r="V37" s="1">
        <f t="shared" si="2"/>
        <v>40000</v>
      </c>
      <c r="X37" s="1" t="s">
        <v>28</v>
      </c>
    </row>
    <row r="38" spans="1:24" hidden="1" outlineLevel="1" x14ac:dyDescent="0.25">
      <c r="A38" s="1" t="s">
        <v>25</v>
      </c>
      <c r="B38" s="1">
        <v>0</v>
      </c>
      <c r="C38" s="1">
        <v>0</v>
      </c>
      <c r="D38" s="1">
        <v>2925</v>
      </c>
      <c r="E38" s="1">
        <v>2959</v>
      </c>
      <c r="F38" s="1">
        <v>16404</v>
      </c>
      <c r="G38" s="1">
        <v>662</v>
      </c>
      <c r="H38" s="1">
        <v>671</v>
      </c>
      <c r="I38" s="1">
        <v>16379</v>
      </c>
      <c r="J38" s="1">
        <v>0</v>
      </c>
      <c r="K38" s="1">
        <v>75</v>
      </c>
      <c r="L38" s="1">
        <v>17050</v>
      </c>
      <c r="M38" s="1">
        <v>32783</v>
      </c>
      <c r="N38" s="6">
        <v>0.49976550592097502</v>
      </c>
      <c r="O38" s="6">
        <v>0.96092742408254195</v>
      </c>
      <c r="P38" s="6">
        <v>0.14710000000000001</v>
      </c>
      <c r="Q38" s="1">
        <v>0.93096996096073903</v>
      </c>
      <c r="R38" s="1">
        <v>0</v>
      </c>
      <c r="S38" s="1" t="b">
        <v>1</v>
      </c>
      <c r="T38" s="1" t="b">
        <v>0</v>
      </c>
      <c r="V38" s="1">
        <f t="shared" si="2"/>
        <v>40000</v>
      </c>
    </row>
    <row r="39" spans="1:24" hidden="1" outlineLevel="1" x14ac:dyDescent="0.25">
      <c r="A39" s="1" t="s">
        <v>24</v>
      </c>
      <c r="B39" s="1">
        <v>0</v>
      </c>
      <c r="C39" s="1">
        <v>8794</v>
      </c>
      <c r="D39" s="1">
        <v>211</v>
      </c>
      <c r="E39" s="1">
        <v>188</v>
      </c>
      <c r="F39" s="1">
        <v>10767</v>
      </c>
      <c r="G39" s="1">
        <v>4572</v>
      </c>
      <c r="H39" s="1">
        <v>4668</v>
      </c>
      <c r="I39" s="1">
        <v>10800</v>
      </c>
      <c r="J39" s="1">
        <v>8794</v>
      </c>
      <c r="K39" s="1">
        <v>76</v>
      </c>
      <c r="L39" s="1">
        <v>15468</v>
      </c>
      <c r="M39" s="1">
        <v>21567</v>
      </c>
      <c r="N39" s="6">
        <v>0.50209368000778998</v>
      </c>
      <c r="O39" s="6">
        <v>0.70006816632583502</v>
      </c>
      <c r="P39" s="6">
        <v>9.9749999999999995E-3</v>
      </c>
      <c r="Q39" s="1">
        <v>0.46236251267769402</v>
      </c>
      <c r="R39" s="1">
        <v>0</v>
      </c>
      <c r="S39" s="1" t="b">
        <v>1</v>
      </c>
      <c r="T39" s="1" t="b">
        <v>0</v>
      </c>
      <c r="V39" s="1">
        <f t="shared" si="2"/>
        <v>40000</v>
      </c>
      <c r="X39" s="1" t="s">
        <v>28</v>
      </c>
    </row>
    <row r="40" spans="1:24" hidden="1" outlineLevel="1" x14ac:dyDescent="0.25">
      <c r="A40" s="1" t="s">
        <v>23</v>
      </c>
      <c r="B40" s="1">
        <v>0</v>
      </c>
      <c r="C40" s="1">
        <v>0</v>
      </c>
      <c r="D40" s="1">
        <v>1600</v>
      </c>
      <c r="E40" s="1">
        <v>1502</v>
      </c>
      <c r="F40" s="1">
        <v>12839</v>
      </c>
      <c r="G40" s="1">
        <v>5444</v>
      </c>
      <c r="H40" s="1">
        <v>5561</v>
      </c>
      <c r="I40" s="1">
        <v>13054</v>
      </c>
      <c r="J40" s="1">
        <v>0</v>
      </c>
      <c r="K40" s="1">
        <v>78</v>
      </c>
      <c r="L40" s="1">
        <v>18615</v>
      </c>
      <c r="M40" s="1">
        <v>25893</v>
      </c>
      <c r="N40" s="6">
        <v>0.50449888882866201</v>
      </c>
      <c r="O40" s="6">
        <v>0.70174535205160105</v>
      </c>
      <c r="P40" s="6">
        <v>7.7549999999999994E-2</v>
      </c>
      <c r="Q40" s="1">
        <v>8.3921945417890706E-2</v>
      </c>
      <c r="R40" s="1">
        <v>0</v>
      </c>
      <c r="S40" s="1" t="b">
        <v>1</v>
      </c>
      <c r="T40" s="1" t="b">
        <v>0</v>
      </c>
      <c r="V40" s="1">
        <f t="shared" si="2"/>
        <v>40000</v>
      </c>
    </row>
    <row r="41" spans="1:24" hidden="1" outlineLevel="1" x14ac:dyDescent="0.25">
      <c r="A41" s="1" t="s">
        <v>27</v>
      </c>
      <c r="B41" s="1">
        <v>0</v>
      </c>
      <c r="C41" s="1">
        <v>0</v>
      </c>
      <c r="D41" s="1">
        <v>1473</v>
      </c>
      <c r="E41" s="1">
        <v>1526</v>
      </c>
      <c r="F41" s="1">
        <v>12849</v>
      </c>
      <c r="G41" s="1">
        <v>5661</v>
      </c>
      <c r="H41" s="1">
        <v>5678</v>
      </c>
      <c r="I41" s="1">
        <v>12813</v>
      </c>
      <c r="J41" s="1">
        <v>0</v>
      </c>
      <c r="K41" s="1">
        <v>87</v>
      </c>
      <c r="L41" s="1">
        <v>18491</v>
      </c>
      <c r="M41" s="1">
        <v>25662</v>
      </c>
      <c r="N41" s="6">
        <v>0.49974325018242699</v>
      </c>
      <c r="O41" s="6">
        <v>0.69354882300478304</v>
      </c>
      <c r="P41" s="6">
        <v>7.4975E-2</v>
      </c>
      <c r="Q41" s="1">
        <v>0.92131694888854898</v>
      </c>
      <c r="R41" s="1">
        <v>0</v>
      </c>
      <c r="S41" s="1" t="b">
        <v>1</v>
      </c>
      <c r="T41" s="1" t="b">
        <v>0</v>
      </c>
      <c r="V41" s="1">
        <f t="shared" si="2"/>
        <v>40000</v>
      </c>
      <c r="X41" s="1" t="s">
        <v>29</v>
      </c>
    </row>
    <row r="42" spans="1:24" hidden="1" outlineLevel="1" x14ac:dyDescent="0.25">
      <c r="A42" s="1" t="s">
        <v>31</v>
      </c>
      <c r="B42" s="1">
        <v>87</v>
      </c>
      <c r="C42" s="1">
        <v>18926</v>
      </c>
      <c r="D42" s="1">
        <v>451</v>
      </c>
      <c r="E42" s="1">
        <v>469</v>
      </c>
      <c r="F42" s="1">
        <v>7808</v>
      </c>
      <c r="G42" s="1">
        <v>2202</v>
      </c>
      <c r="H42" s="1">
        <v>2221</v>
      </c>
      <c r="I42" s="1">
        <v>7836</v>
      </c>
      <c r="J42" s="1">
        <v>19013</v>
      </c>
      <c r="K42" s="1">
        <v>62</v>
      </c>
      <c r="L42" s="1">
        <v>10057</v>
      </c>
      <c r="M42" s="1">
        <v>15644</v>
      </c>
      <c r="N42" s="6">
        <v>0.50117107689241003</v>
      </c>
      <c r="O42" s="6">
        <v>0.77958837893058197</v>
      </c>
      <c r="P42" s="6">
        <v>2.3E-2</v>
      </c>
      <c r="Q42" s="1">
        <v>0.74005167797177096</v>
      </c>
      <c r="R42" s="1">
        <v>0</v>
      </c>
      <c r="S42" s="1" t="b">
        <v>1</v>
      </c>
      <c r="T42" s="1" t="b">
        <v>0</v>
      </c>
      <c r="V42" s="1">
        <f t="shared" si="2"/>
        <v>40000</v>
      </c>
    </row>
    <row r="43" spans="1:24" ht="15.75" thickBot="1" x14ac:dyDescent="0.3">
      <c r="N43" s="6"/>
      <c r="O43" s="6"/>
      <c r="P43" s="6"/>
      <c r="V43" s="1">
        <f t="shared" si="2"/>
        <v>0</v>
      </c>
    </row>
    <row r="44" spans="1:24" s="4" customFormat="1" ht="15.75" collapsed="1" thickTop="1" x14ac:dyDescent="0.25">
      <c r="A44" s="3" t="s">
        <v>45</v>
      </c>
      <c r="B44" s="4">
        <v>0</v>
      </c>
      <c r="C44" s="4">
        <v>0</v>
      </c>
      <c r="D44" s="4">
        <v>1367</v>
      </c>
      <c r="E44" s="4">
        <v>1360</v>
      </c>
      <c r="F44" s="4">
        <v>13765</v>
      </c>
      <c r="G44" s="4">
        <v>14474</v>
      </c>
      <c r="H44" s="4">
        <v>14868</v>
      </c>
      <c r="I44" s="4">
        <v>14166</v>
      </c>
      <c r="J44" s="4">
        <v>0</v>
      </c>
      <c r="L44" s="4">
        <v>29034</v>
      </c>
      <c r="M44" s="4">
        <v>27931</v>
      </c>
      <c r="N44" s="5">
        <v>0.50694044314074693</v>
      </c>
      <c r="O44" s="5">
        <v>0.48768180468981892</v>
      </c>
      <c r="P44" s="5">
        <v>4.5449999999999997E-2</v>
      </c>
      <c r="Q44" s="4">
        <v>8.939298713981675E-4</v>
      </c>
      <c r="R44" s="4">
        <v>3.7258521194222113E-9</v>
      </c>
      <c r="S44" s="4" t="b">
        <v>0</v>
      </c>
      <c r="T44" s="4" t="b">
        <v>0</v>
      </c>
      <c r="V44" s="4">
        <f t="shared" si="2"/>
        <v>60000</v>
      </c>
    </row>
    <row r="45" spans="1:24" hidden="1" outlineLevel="1" x14ac:dyDescent="0.25">
      <c r="N45" s="6"/>
      <c r="O45" s="6"/>
      <c r="P45" s="6"/>
      <c r="V45" s="1">
        <f t="shared" si="2"/>
        <v>0</v>
      </c>
    </row>
    <row r="46" spans="1:24" hidden="1" outlineLevel="1" x14ac:dyDescent="0.25">
      <c r="A46" s="1" t="s">
        <v>19</v>
      </c>
      <c r="B46" s="1">
        <v>0</v>
      </c>
      <c r="C46" s="1">
        <v>0</v>
      </c>
      <c r="D46" s="1">
        <v>447</v>
      </c>
      <c r="E46" s="1">
        <v>354</v>
      </c>
      <c r="F46" s="1">
        <v>4439</v>
      </c>
      <c r="G46" s="1">
        <v>6890</v>
      </c>
      <c r="H46" s="1">
        <v>5114</v>
      </c>
      <c r="I46" s="1">
        <v>2756</v>
      </c>
      <c r="J46" s="1">
        <v>0</v>
      </c>
      <c r="K46" s="1">
        <v>0</v>
      </c>
      <c r="L46" s="1">
        <v>7870</v>
      </c>
      <c r="M46" s="1">
        <v>7195</v>
      </c>
      <c r="N46" s="6">
        <v>0.40991718318662401</v>
      </c>
      <c r="O46" s="6">
        <v>0.37475910203656398</v>
      </c>
      <c r="P46" s="6">
        <v>4.0050000000000002E-2</v>
      </c>
      <c r="Q46" s="1">
        <v>1.5111586962349399E-137</v>
      </c>
      <c r="R46" s="1">
        <v>6.2054549079995103E-264</v>
      </c>
      <c r="S46" s="1" t="b">
        <v>0</v>
      </c>
      <c r="T46" s="1" t="b">
        <v>0</v>
      </c>
      <c r="V46" s="1">
        <f>SUM(B46:I46)</f>
        <v>20000</v>
      </c>
    </row>
    <row r="47" spans="1:24" hidden="1" outlineLevel="1" x14ac:dyDescent="0.25">
      <c r="A47" s="14" t="s">
        <v>32</v>
      </c>
      <c r="B47" s="1">
        <v>0</v>
      </c>
      <c r="C47" s="1">
        <v>0</v>
      </c>
      <c r="D47" s="1">
        <v>968</v>
      </c>
      <c r="E47" s="1">
        <v>972</v>
      </c>
      <c r="F47" s="1">
        <v>9280</v>
      </c>
      <c r="G47" s="1">
        <v>9673</v>
      </c>
      <c r="H47" s="1">
        <v>9752</v>
      </c>
      <c r="I47" s="1">
        <v>9355</v>
      </c>
      <c r="J47" s="1">
        <v>0</v>
      </c>
      <c r="K47" s="1">
        <v>152</v>
      </c>
      <c r="L47" s="1">
        <v>19107</v>
      </c>
      <c r="M47" s="1">
        <v>18635</v>
      </c>
      <c r="N47" s="6">
        <v>0.502023121387283</v>
      </c>
      <c r="O47" s="6">
        <v>0.489621650026274</v>
      </c>
      <c r="P47" s="6">
        <v>4.8500000000000001E-2</v>
      </c>
      <c r="Q47" s="1">
        <v>0.42988971855481001</v>
      </c>
      <c r="R47" s="1">
        <v>5.1344979674451102E-5</v>
      </c>
      <c r="S47" s="1" t="b">
        <v>1</v>
      </c>
      <c r="T47" s="1" t="b">
        <v>0</v>
      </c>
      <c r="V47" s="1">
        <f>SUM(B47:I47)</f>
        <v>40000</v>
      </c>
      <c r="X47" s="14" t="s">
        <v>77</v>
      </c>
    </row>
    <row r="48" spans="1:24" hidden="1" outlineLevel="1" x14ac:dyDescent="0.25">
      <c r="A48" s="1" t="s">
        <v>33</v>
      </c>
      <c r="B48" s="1">
        <v>0</v>
      </c>
      <c r="C48" s="1">
        <v>0</v>
      </c>
      <c r="D48" s="1">
        <v>1070</v>
      </c>
      <c r="E48" s="1">
        <v>1114</v>
      </c>
      <c r="F48" s="1">
        <v>9334</v>
      </c>
      <c r="G48" s="1">
        <v>9994</v>
      </c>
      <c r="H48" s="1">
        <v>9596</v>
      </c>
      <c r="I48" s="1">
        <v>8892</v>
      </c>
      <c r="J48" s="1">
        <v>0</v>
      </c>
      <c r="K48" s="1">
        <v>486</v>
      </c>
      <c r="L48" s="1">
        <v>18488</v>
      </c>
      <c r="M48" s="1">
        <v>18226</v>
      </c>
      <c r="N48" s="6">
        <v>0.48889359001480798</v>
      </c>
      <c r="O48" s="6">
        <v>0.481965305690712</v>
      </c>
      <c r="P48" s="6">
        <v>5.4600000000000003E-2</v>
      </c>
      <c r="Q48" s="1">
        <v>1.5632664546767599E-5</v>
      </c>
      <c r="R48" s="1">
        <v>2.31310304059544E-12</v>
      </c>
      <c r="S48" s="1" t="b">
        <v>0</v>
      </c>
      <c r="T48" s="1" t="b">
        <v>0</v>
      </c>
      <c r="V48" s="1">
        <f t="shared" si="2"/>
        <v>40000</v>
      </c>
    </row>
    <row r="49" spans="1:24" hidden="1" outlineLevel="1" x14ac:dyDescent="0.25">
      <c r="A49" s="1" t="s">
        <v>34</v>
      </c>
      <c r="B49" s="1">
        <v>0</v>
      </c>
      <c r="C49" s="1">
        <v>0</v>
      </c>
      <c r="D49" s="1">
        <v>753</v>
      </c>
      <c r="E49" s="1">
        <v>753</v>
      </c>
      <c r="F49" s="1">
        <v>10817</v>
      </c>
      <c r="G49" s="1">
        <v>8410</v>
      </c>
      <c r="H49" s="1">
        <v>8430</v>
      </c>
      <c r="I49" s="1">
        <v>10837</v>
      </c>
      <c r="J49" s="1">
        <v>0</v>
      </c>
      <c r="K49" s="1">
        <v>150</v>
      </c>
      <c r="L49" s="1">
        <v>19267</v>
      </c>
      <c r="M49" s="1">
        <v>21654</v>
      </c>
      <c r="N49" s="6">
        <v>0.50051956149010202</v>
      </c>
      <c r="O49" s="6">
        <v>0.56252922533381799</v>
      </c>
      <c r="P49" s="6">
        <v>3.7650000000000003E-2</v>
      </c>
      <c r="Q49" s="1">
        <v>0.838451366658021</v>
      </c>
      <c r="R49" s="1">
        <v>6.0528320564918597E-133</v>
      </c>
      <c r="S49" s="1" t="b">
        <v>1</v>
      </c>
      <c r="T49" s="1" t="b">
        <v>0</v>
      </c>
      <c r="V49" s="1">
        <f t="shared" si="2"/>
        <v>40000</v>
      </c>
    </row>
    <row r="50" spans="1:24" hidden="1" outlineLevel="1" x14ac:dyDescent="0.25">
      <c r="B50" s="1">
        <v>0</v>
      </c>
      <c r="C50" s="1">
        <v>0</v>
      </c>
      <c r="D50" s="1">
        <v>1177</v>
      </c>
      <c r="E50" s="1">
        <v>1129</v>
      </c>
      <c r="F50" s="1">
        <v>16106</v>
      </c>
      <c r="G50" s="1">
        <v>12583</v>
      </c>
      <c r="H50" s="1">
        <v>12717</v>
      </c>
      <c r="I50" s="1">
        <v>16288</v>
      </c>
      <c r="J50" s="1">
        <v>0</v>
      </c>
      <c r="K50" s="1">
        <v>216</v>
      </c>
      <c r="L50" s="1">
        <v>29005</v>
      </c>
      <c r="M50" s="1">
        <v>32394</v>
      </c>
      <c r="N50" s="6">
        <v>0.50273858633479995</v>
      </c>
      <c r="O50" s="6">
        <v>0.56147952993378802</v>
      </c>
      <c r="P50" s="6">
        <v>3.8433333333333299E-2</v>
      </c>
      <c r="Q50" s="1">
        <v>0.18831047728528399</v>
      </c>
      <c r="R50" s="1">
        <v>1.04653267908594E-191</v>
      </c>
      <c r="S50" s="1" t="b">
        <v>1</v>
      </c>
      <c r="T50" s="1" t="b">
        <v>0</v>
      </c>
      <c r="V50" s="1">
        <f t="shared" si="2"/>
        <v>60000</v>
      </c>
    </row>
    <row r="51" spans="1:24" hidden="1" outlineLevel="1" x14ac:dyDescent="0.25">
      <c r="A51" s="14" t="s">
        <v>35</v>
      </c>
      <c r="B51" s="1">
        <v>0</v>
      </c>
      <c r="C51" s="1">
        <v>0</v>
      </c>
      <c r="D51" s="1">
        <v>1930</v>
      </c>
      <c r="E51" s="1">
        <v>1882</v>
      </c>
      <c r="F51" s="1">
        <v>26923</v>
      </c>
      <c r="G51" s="1">
        <v>20993</v>
      </c>
      <c r="H51" s="1">
        <v>21147</v>
      </c>
      <c r="I51" s="1">
        <v>27125</v>
      </c>
      <c r="K51" s="1">
        <v>0</v>
      </c>
      <c r="L51" s="1">
        <v>48272</v>
      </c>
      <c r="M51" s="1">
        <v>54048</v>
      </c>
      <c r="N51" s="6">
        <v>0.5018505426872375</v>
      </c>
      <c r="O51" s="6">
        <v>0.56189961325737103</v>
      </c>
      <c r="P51" s="6">
        <v>3.8120000000000001E-2</v>
      </c>
      <c r="Q51" s="1">
        <v>0.25102567739511439</v>
      </c>
      <c r="R51" s="1">
        <v>0</v>
      </c>
      <c r="S51" s="1" t="b">
        <v>1</v>
      </c>
      <c r="T51" s="1" t="b">
        <v>0</v>
      </c>
      <c r="V51" s="1">
        <f t="shared" si="2"/>
        <v>100000</v>
      </c>
      <c r="X51" s="14" t="s">
        <v>76</v>
      </c>
    </row>
    <row r="52" spans="1:24" ht="15.75" thickBot="1" x14ac:dyDescent="0.3">
      <c r="N52" s="6"/>
      <c r="O52" s="6"/>
      <c r="P52" s="6"/>
      <c r="V52" s="1">
        <f t="shared" si="2"/>
        <v>0</v>
      </c>
    </row>
    <row r="53" spans="1:24" s="4" customFormat="1" ht="15.75" thickTop="1" x14ac:dyDescent="0.25">
      <c r="A53" s="7" t="s">
        <v>41</v>
      </c>
      <c r="B53" s="4">
        <v>0</v>
      </c>
      <c r="C53" s="4">
        <v>0</v>
      </c>
      <c r="D53" s="4">
        <v>0</v>
      </c>
      <c r="E53" s="4">
        <v>0</v>
      </c>
      <c r="F53" s="4">
        <v>29887</v>
      </c>
      <c r="G53" s="4">
        <v>30609</v>
      </c>
      <c r="H53" s="4">
        <v>30113</v>
      </c>
      <c r="I53" s="4">
        <v>29391</v>
      </c>
      <c r="J53" s="4">
        <v>0</v>
      </c>
      <c r="K53" s="4">
        <v>0</v>
      </c>
      <c r="L53" s="4">
        <v>59504</v>
      </c>
      <c r="M53" s="4">
        <v>59278</v>
      </c>
      <c r="N53" s="5">
        <v>0.49586666666666668</v>
      </c>
      <c r="O53" s="5">
        <v>0.49398333333333333</v>
      </c>
      <c r="P53" s="5">
        <v>0</v>
      </c>
      <c r="Q53" s="4">
        <v>4.1878077707538782E-3</v>
      </c>
      <c r="R53" s="4">
        <v>3.0665253308703635E-5</v>
      </c>
      <c r="S53" s="4" t="b">
        <v>0</v>
      </c>
      <c r="T53" s="4" t="b">
        <v>0</v>
      </c>
      <c r="V53" s="4">
        <f t="shared" ref="V53:V54" si="3">SUM(B53:I53)</f>
        <v>120000</v>
      </c>
    </row>
    <row r="54" spans="1:24" outlineLevel="1" x14ac:dyDescent="0.25">
      <c r="N54" s="6"/>
      <c r="O54" s="6"/>
      <c r="P54" s="6"/>
      <c r="V54" s="1">
        <f t="shared" si="3"/>
        <v>0</v>
      </c>
    </row>
    <row r="55" spans="1:24" outlineLevel="1" x14ac:dyDescent="0.25">
      <c r="A55" s="1" t="s">
        <v>42</v>
      </c>
      <c r="B55" s="1">
        <v>0</v>
      </c>
      <c r="C55" s="1">
        <v>0</v>
      </c>
      <c r="D55" s="1">
        <v>0</v>
      </c>
      <c r="E55" s="1">
        <v>0</v>
      </c>
      <c r="F55" s="1">
        <v>1981</v>
      </c>
      <c r="G55" s="1">
        <v>1565</v>
      </c>
      <c r="H55" s="1">
        <v>10519</v>
      </c>
      <c r="I55" s="1">
        <v>10935</v>
      </c>
      <c r="J55" s="1">
        <v>0</v>
      </c>
      <c r="K55" s="1">
        <v>0</v>
      </c>
      <c r="L55" s="1">
        <v>21454</v>
      </c>
      <c r="M55" s="1">
        <v>12916</v>
      </c>
      <c r="N55" s="6">
        <v>0.85816000000000003</v>
      </c>
      <c r="O55" s="6">
        <v>0.51663999999999999</v>
      </c>
      <c r="P55" s="6">
        <v>0</v>
      </c>
      <c r="Q55" s="1">
        <v>0</v>
      </c>
      <c r="R55" s="1">
        <v>1.4247349133344401E-7</v>
      </c>
      <c r="S55" s="1" t="b">
        <v>0</v>
      </c>
      <c r="T55" s="1" t="b">
        <v>0</v>
      </c>
      <c r="V55" s="1">
        <f>SUM(B55:I55)</f>
        <v>25000</v>
      </c>
    </row>
    <row r="56" spans="1:24" outlineLevel="1" x14ac:dyDescent="0.25">
      <c r="A56" s="1" t="s">
        <v>46</v>
      </c>
      <c r="B56" s="1">
        <v>122</v>
      </c>
      <c r="C56" s="1">
        <v>0</v>
      </c>
      <c r="D56" s="1">
        <v>0</v>
      </c>
      <c r="E56" s="1">
        <v>0</v>
      </c>
      <c r="F56" s="1">
        <v>35158</v>
      </c>
      <c r="G56" s="1">
        <v>35536</v>
      </c>
      <c r="H56" s="1">
        <v>34783</v>
      </c>
      <c r="I56" s="1">
        <v>34401</v>
      </c>
      <c r="J56" s="1">
        <v>122</v>
      </c>
      <c r="K56" s="1">
        <v>0</v>
      </c>
      <c r="L56" s="1">
        <v>69184</v>
      </c>
      <c r="M56" s="1">
        <v>69559</v>
      </c>
      <c r="N56" s="1">
        <v>0.49460243926850539</v>
      </c>
      <c r="O56" s="1">
        <v>0.49728334691659876</v>
      </c>
      <c r="P56" s="1">
        <v>0</v>
      </c>
      <c r="Q56" s="1">
        <v>5.4045882770361349E-5</v>
      </c>
      <c r="R56" s="1">
        <v>4.2146465296798635E-2</v>
      </c>
      <c r="S56" s="1" t="b">
        <v>0</v>
      </c>
      <c r="T56" s="1" t="b">
        <v>0</v>
      </c>
      <c r="V56" s="1">
        <f t="shared" ref="V56:V61" si="4">SUM(B56:I56)</f>
        <v>140000</v>
      </c>
    </row>
    <row r="57" spans="1:24" outlineLevel="1" x14ac:dyDescent="0.25">
      <c r="A57" s="1" t="s">
        <v>47</v>
      </c>
      <c r="B57" s="1">
        <v>80</v>
      </c>
      <c r="C57" s="1">
        <v>0</v>
      </c>
      <c r="D57" s="1">
        <v>0</v>
      </c>
      <c r="E57" s="1">
        <v>0</v>
      </c>
      <c r="F57" s="1">
        <v>35017</v>
      </c>
      <c r="G57" s="1">
        <v>35896</v>
      </c>
      <c r="H57" s="1">
        <v>34936</v>
      </c>
      <c r="I57" s="1">
        <v>34071</v>
      </c>
      <c r="J57" s="1">
        <v>80</v>
      </c>
      <c r="K57" s="1">
        <v>0</v>
      </c>
      <c r="L57" s="1">
        <v>69007</v>
      </c>
      <c r="M57" s="1">
        <v>69088</v>
      </c>
      <c r="N57" s="1">
        <v>0.49318896512292737</v>
      </c>
      <c r="O57" s="1">
        <v>0.493767867352773</v>
      </c>
      <c r="P57" s="1">
        <v>0</v>
      </c>
      <c r="Q57" s="1">
        <v>3.4790406267529697E-7</v>
      </c>
      <c r="R57" s="1">
        <v>3.1259104356187849E-6</v>
      </c>
      <c r="S57" s="1" t="b">
        <v>0</v>
      </c>
      <c r="T57" s="1" t="b">
        <v>0</v>
      </c>
      <c r="V57" s="1">
        <f t="shared" si="4"/>
        <v>140000</v>
      </c>
    </row>
    <row r="58" spans="1:24" outlineLevel="1" x14ac:dyDescent="0.25">
      <c r="A58" s="1" t="s">
        <v>48</v>
      </c>
      <c r="B58" s="1">
        <v>0</v>
      </c>
      <c r="C58" s="1">
        <v>0</v>
      </c>
      <c r="D58" s="1">
        <v>0</v>
      </c>
      <c r="E58" s="1">
        <v>0</v>
      </c>
      <c r="F58" s="1">
        <v>10112</v>
      </c>
      <c r="G58" s="1">
        <v>10173</v>
      </c>
      <c r="H58" s="1">
        <v>9888</v>
      </c>
      <c r="I58" s="1">
        <v>9827</v>
      </c>
      <c r="J58" s="1">
        <v>0</v>
      </c>
      <c r="K58" s="1">
        <v>0</v>
      </c>
      <c r="L58" s="1">
        <v>19715</v>
      </c>
      <c r="M58" s="1">
        <v>19939</v>
      </c>
      <c r="N58" s="1">
        <v>0.49287500000000001</v>
      </c>
      <c r="O58" s="1">
        <v>0.498475</v>
      </c>
      <c r="P58" s="1">
        <v>0</v>
      </c>
      <c r="Q58" s="1">
        <v>4.3719229098264801E-3</v>
      </c>
      <c r="R58" s="1">
        <v>0.54186180756601099</v>
      </c>
      <c r="S58" s="1" t="b">
        <v>0</v>
      </c>
      <c r="T58" s="1" t="b">
        <v>1</v>
      </c>
      <c r="V58" s="1">
        <f t="shared" si="4"/>
        <v>40000</v>
      </c>
    </row>
    <row r="59" spans="1:24" outlineLevel="1" x14ac:dyDescent="0.25">
      <c r="A59" s="1" t="s">
        <v>49</v>
      </c>
      <c r="B59" s="1">
        <v>0</v>
      </c>
      <c r="C59" s="1">
        <v>0</v>
      </c>
      <c r="D59" s="1">
        <v>0</v>
      </c>
      <c r="E59" s="1">
        <v>0</v>
      </c>
      <c r="F59" s="1">
        <v>10053</v>
      </c>
      <c r="G59" s="1">
        <v>10140</v>
      </c>
      <c r="H59" s="1">
        <v>9947</v>
      </c>
      <c r="I59" s="1">
        <v>9860</v>
      </c>
      <c r="J59" s="1">
        <v>0</v>
      </c>
      <c r="K59" s="1">
        <v>0</v>
      </c>
      <c r="L59" s="1">
        <v>19807</v>
      </c>
      <c r="M59" s="1">
        <v>19913</v>
      </c>
      <c r="N59" s="1">
        <v>0.49517499999999998</v>
      </c>
      <c r="O59" s="1">
        <v>0.49782500000000002</v>
      </c>
      <c r="P59" s="1">
        <v>0</v>
      </c>
      <c r="Q59" s="1">
        <v>5.3606837754109897E-2</v>
      </c>
      <c r="R59" s="1">
        <v>0.38430040420739198</v>
      </c>
      <c r="S59" s="1" t="b">
        <v>1</v>
      </c>
      <c r="T59" s="1" t="b">
        <v>1</v>
      </c>
      <c r="V59" s="1">
        <f t="shared" si="4"/>
        <v>40000</v>
      </c>
    </row>
    <row r="60" spans="1:24" outlineLevel="1" x14ac:dyDescent="0.25">
      <c r="A60" s="1" t="s">
        <v>50</v>
      </c>
      <c r="B60" s="1">
        <v>169</v>
      </c>
      <c r="C60" s="1">
        <v>0</v>
      </c>
      <c r="D60" s="1">
        <v>0</v>
      </c>
      <c r="E60" s="1">
        <v>0</v>
      </c>
      <c r="F60" s="1">
        <v>49808</v>
      </c>
      <c r="G60" s="1">
        <v>51143</v>
      </c>
      <c r="H60" s="1">
        <v>50100</v>
      </c>
      <c r="I60" s="1">
        <v>48780</v>
      </c>
      <c r="J60" s="1">
        <v>169</v>
      </c>
      <c r="K60" s="1">
        <v>0</v>
      </c>
      <c r="L60" s="1">
        <v>98880</v>
      </c>
      <c r="M60" s="1">
        <v>98588</v>
      </c>
      <c r="N60" s="1">
        <v>0.49481812131250907</v>
      </c>
      <c r="O60" s="1">
        <v>0.49335688656915094</v>
      </c>
      <c r="P60" s="1">
        <v>0</v>
      </c>
      <c r="Q60" s="1">
        <v>3.6065789082257458E-6</v>
      </c>
      <c r="R60" s="1">
        <v>2.8629340680418355E-9</v>
      </c>
      <c r="S60" s="1" t="b">
        <v>0</v>
      </c>
      <c r="T60" s="1" t="b">
        <v>0</v>
      </c>
      <c r="V60" s="1">
        <f t="shared" si="4"/>
        <v>200000</v>
      </c>
    </row>
    <row r="61" spans="1:24" outlineLevel="1" x14ac:dyDescent="0.25">
      <c r="A61" s="1" t="s">
        <v>51</v>
      </c>
      <c r="B61" s="1">
        <v>5</v>
      </c>
      <c r="C61" s="1">
        <v>0</v>
      </c>
      <c r="D61" s="1">
        <v>0</v>
      </c>
      <c r="E61" s="1">
        <v>0</v>
      </c>
      <c r="F61" s="1">
        <v>10303</v>
      </c>
      <c r="G61" s="1">
        <v>10267</v>
      </c>
      <c r="H61" s="1">
        <v>9695</v>
      </c>
      <c r="I61" s="1">
        <v>9730</v>
      </c>
      <c r="J61" s="1">
        <v>5</v>
      </c>
      <c r="K61" s="1">
        <v>0</v>
      </c>
      <c r="L61" s="1">
        <v>19425</v>
      </c>
      <c r="M61" s="1">
        <v>20033</v>
      </c>
      <c r="N61" s="1">
        <v>0.48568571071383898</v>
      </c>
      <c r="O61" s="1">
        <v>0.50088761095136802</v>
      </c>
      <c r="P61" s="1">
        <v>0</v>
      </c>
      <c r="Q61" s="9">
        <v>1.03215942350502E-8</v>
      </c>
      <c r="R61" s="1">
        <v>0.72257296777128599</v>
      </c>
      <c r="S61" s="1" t="b">
        <v>0</v>
      </c>
      <c r="T61" s="1" t="b">
        <v>1</v>
      </c>
      <c r="V61" s="1">
        <f t="shared" si="4"/>
        <v>40000</v>
      </c>
    </row>
    <row r="62" spans="1:24" outlineLevel="1" x14ac:dyDescent="0.25">
      <c r="Q62" s="9"/>
    </row>
    <row r="63" spans="1:24" outlineLevel="1" x14ac:dyDescent="0.25">
      <c r="Q63" s="9"/>
    </row>
    <row r="64" spans="1:24" ht="15.75" thickBot="1" x14ac:dyDescent="0.3">
      <c r="Q64" s="9"/>
    </row>
    <row r="65" spans="1:24" s="4" customFormat="1" ht="15.75" collapsed="1" thickTop="1" x14ac:dyDescent="0.25">
      <c r="A65" s="3" t="s">
        <v>58</v>
      </c>
      <c r="B65" s="4">
        <v>0</v>
      </c>
      <c r="C65" s="4">
        <v>0</v>
      </c>
      <c r="D65" s="4">
        <v>2769</v>
      </c>
      <c r="E65" s="4">
        <v>4041</v>
      </c>
      <c r="F65" s="4">
        <v>30797</v>
      </c>
      <c r="G65" s="4">
        <v>19990</v>
      </c>
      <c r="H65" s="4">
        <v>16434</v>
      </c>
      <c r="I65" s="4">
        <v>25969</v>
      </c>
      <c r="J65" s="4">
        <v>0</v>
      </c>
      <c r="K65" s="4">
        <v>2711</v>
      </c>
      <c r="L65" s="4">
        <v>42403</v>
      </c>
      <c r="M65" s="4">
        <v>56766</v>
      </c>
      <c r="N65" s="5">
        <v>0.45501663268591053</v>
      </c>
      <c r="O65" s="5">
        <v>0.60914261186822616</v>
      </c>
      <c r="P65" s="5">
        <v>6.8099999999999994E-2</v>
      </c>
      <c r="Q65" s="4">
        <v>4.7047778954509411E-166</v>
      </c>
      <c r="R65" s="4">
        <v>0</v>
      </c>
      <c r="S65" s="4" t="b">
        <v>0</v>
      </c>
      <c r="T65" s="4" t="b">
        <v>0</v>
      </c>
      <c r="V65" s="4">
        <f t="shared" ref="V65" si="5">SUM(B65:I65)</f>
        <v>100000</v>
      </c>
      <c r="X65" s="4" t="s">
        <v>82</v>
      </c>
    </row>
    <row r="66" spans="1:24" hidden="1" outlineLevel="1" x14ac:dyDescent="0.25">
      <c r="N66" s="6"/>
      <c r="O66" s="6"/>
      <c r="P66" s="6"/>
    </row>
    <row r="67" spans="1:24" hidden="1" outlineLevel="1" x14ac:dyDescent="0.25">
      <c r="A67" s="1" t="s">
        <v>52</v>
      </c>
      <c r="B67" s="1">
        <v>2</v>
      </c>
      <c r="C67" s="1">
        <v>0</v>
      </c>
      <c r="D67" s="1">
        <v>1574</v>
      </c>
      <c r="E67" s="1">
        <v>1617</v>
      </c>
      <c r="F67" s="1">
        <v>11407</v>
      </c>
      <c r="G67" s="1">
        <v>9020</v>
      </c>
      <c r="H67" s="1">
        <v>7017</v>
      </c>
      <c r="I67" s="1">
        <v>9363</v>
      </c>
      <c r="J67" s="1">
        <v>2</v>
      </c>
      <c r="K67" s="1">
        <v>1920</v>
      </c>
      <c r="L67" s="1">
        <v>16380</v>
      </c>
      <c r="M67" s="1">
        <v>20770</v>
      </c>
      <c r="N67" s="6">
        <v>0.44502404433939102</v>
      </c>
      <c r="O67" s="6">
        <v>0.56429483522156099</v>
      </c>
      <c r="P67" s="6">
        <v>7.9774999999999999E-2</v>
      </c>
      <c r="Q67" s="1">
        <v>8.9459058894409597E-99</v>
      </c>
      <c r="R67" s="1">
        <v>2.23877033334065E-134</v>
      </c>
      <c r="S67" s="1" t="b">
        <v>0</v>
      </c>
      <c r="T67" s="1" t="b">
        <v>0</v>
      </c>
      <c r="V67" s="1">
        <f t="shared" ref="V67:V73" si="6">SUM(B67:I67)</f>
        <v>40000</v>
      </c>
    </row>
    <row r="68" spans="1:24" hidden="1" outlineLevel="1" x14ac:dyDescent="0.25">
      <c r="A68" s="1" t="s">
        <v>53</v>
      </c>
      <c r="B68" s="1">
        <v>0</v>
      </c>
      <c r="C68" s="1">
        <v>0</v>
      </c>
      <c r="D68" s="1">
        <v>1665</v>
      </c>
      <c r="E68" s="1">
        <v>1687</v>
      </c>
      <c r="F68" s="1">
        <v>11231</v>
      </c>
      <c r="G68" s="1">
        <v>8900</v>
      </c>
      <c r="H68" s="1">
        <v>7104</v>
      </c>
      <c r="I68" s="1">
        <v>9413</v>
      </c>
      <c r="J68" s="1">
        <v>0</v>
      </c>
      <c r="K68" s="1">
        <v>2296</v>
      </c>
      <c r="L68" s="1">
        <v>16517</v>
      </c>
      <c r="M68" s="1">
        <v>20644</v>
      </c>
      <c r="N68" s="6">
        <v>0.45069308000000002</v>
      </c>
      <c r="O68" s="6">
        <v>0.563304955</v>
      </c>
      <c r="P68" s="6">
        <v>8.3799999999999999E-2</v>
      </c>
      <c r="Q68" s="1">
        <v>1.72E-79</v>
      </c>
      <c r="R68" s="1">
        <v>8.8999999999999997E-130</v>
      </c>
      <c r="S68" s="1" t="b">
        <v>0</v>
      </c>
      <c r="T68" s="1" t="b">
        <v>0</v>
      </c>
      <c r="V68" s="1">
        <f t="shared" si="6"/>
        <v>40000</v>
      </c>
    </row>
    <row r="69" spans="1:24" hidden="1" outlineLevel="1" x14ac:dyDescent="0.25">
      <c r="A69" s="1" t="s">
        <v>54</v>
      </c>
      <c r="B69" s="1">
        <v>0</v>
      </c>
      <c r="C69" s="1">
        <v>0</v>
      </c>
      <c r="D69" s="1">
        <v>1365</v>
      </c>
      <c r="E69" s="1">
        <v>1275</v>
      </c>
      <c r="F69" s="1">
        <v>11505</v>
      </c>
      <c r="G69" s="1">
        <v>10589</v>
      </c>
      <c r="H69" s="1">
        <v>7130</v>
      </c>
      <c r="I69" s="1">
        <v>8136</v>
      </c>
      <c r="J69" s="1">
        <v>0</v>
      </c>
      <c r="K69" s="1">
        <v>9144</v>
      </c>
      <c r="L69" s="1">
        <v>15266</v>
      </c>
      <c r="M69" s="1">
        <v>19641</v>
      </c>
      <c r="N69" s="6">
        <v>0.40861884368308299</v>
      </c>
      <c r="O69" s="6">
        <v>0.52572269807280503</v>
      </c>
      <c r="P69" s="6">
        <v>6.6000000000000003E-2</v>
      </c>
      <c r="Q69" s="1">
        <v>2.37261997343352E-273</v>
      </c>
      <c r="R69" s="1">
        <v>2.6853921575111902E-23</v>
      </c>
      <c r="S69" s="1" t="b">
        <v>0</v>
      </c>
      <c r="T69" s="1" t="b">
        <v>0</v>
      </c>
      <c r="V69" s="1">
        <f t="shared" si="6"/>
        <v>40000</v>
      </c>
    </row>
    <row r="70" spans="1:24" hidden="1" outlineLevel="1" x14ac:dyDescent="0.25">
      <c r="A70" s="1" t="s">
        <v>55</v>
      </c>
      <c r="B70" s="1">
        <v>0</v>
      </c>
      <c r="C70" s="1">
        <v>0</v>
      </c>
      <c r="D70" s="1">
        <v>1776</v>
      </c>
      <c r="E70" s="1">
        <v>1806</v>
      </c>
      <c r="F70" s="1">
        <v>11429</v>
      </c>
      <c r="G70" s="1">
        <v>10667</v>
      </c>
      <c r="H70" s="1">
        <v>6795</v>
      </c>
      <c r="I70" s="1">
        <v>7527</v>
      </c>
      <c r="J70" s="1">
        <v>0</v>
      </c>
      <c r="K70" s="1">
        <v>15122</v>
      </c>
      <c r="L70" s="1">
        <v>14322</v>
      </c>
      <c r="M70" s="1">
        <v>18956</v>
      </c>
      <c r="N70" s="6">
        <v>0.39326706573672299</v>
      </c>
      <c r="O70" s="6">
        <v>0.52051183480696295</v>
      </c>
      <c r="P70" s="6">
        <v>8.9550000000000005E-2</v>
      </c>
      <c r="Q70" s="1">
        <v>0</v>
      </c>
      <c r="R70" s="1">
        <v>4.9273536799782803E-15</v>
      </c>
      <c r="S70" s="1" t="b">
        <v>0</v>
      </c>
      <c r="T70" s="1" t="b">
        <v>0</v>
      </c>
      <c r="V70" s="1">
        <f t="shared" si="6"/>
        <v>40000</v>
      </c>
    </row>
    <row r="71" spans="1:24" hidden="1" outlineLevel="1" x14ac:dyDescent="0.25">
      <c r="A71" s="1" t="s">
        <v>56</v>
      </c>
      <c r="B71" s="1">
        <v>0</v>
      </c>
      <c r="C71" s="1">
        <v>0</v>
      </c>
      <c r="D71" s="1">
        <v>1445</v>
      </c>
      <c r="E71" s="1">
        <v>1460</v>
      </c>
      <c r="F71" s="1">
        <v>11817</v>
      </c>
      <c r="G71" s="1">
        <v>10814</v>
      </c>
      <c r="H71" s="1">
        <v>6738</v>
      </c>
      <c r="I71" s="1">
        <v>7726</v>
      </c>
      <c r="J71" s="1">
        <v>0</v>
      </c>
      <c r="K71" s="1">
        <v>14860</v>
      </c>
      <c r="L71" s="1">
        <v>14464</v>
      </c>
      <c r="M71" s="1">
        <v>19543</v>
      </c>
      <c r="N71" s="6">
        <v>0.38991777867637101</v>
      </c>
      <c r="O71" s="6">
        <v>0.52683650087612799</v>
      </c>
      <c r="P71" s="6">
        <v>7.2624999999999995E-2</v>
      </c>
      <c r="Q71" s="1">
        <v>0</v>
      </c>
      <c r="R71" s="1">
        <v>4.7704508339394697E-25</v>
      </c>
      <c r="S71" s="1" t="b">
        <v>0</v>
      </c>
      <c r="T71" s="1" t="b">
        <v>0</v>
      </c>
      <c r="V71" s="1">
        <f t="shared" si="6"/>
        <v>40000</v>
      </c>
    </row>
    <row r="72" spans="1:24" hidden="1" outlineLevel="1" x14ac:dyDescent="0.25">
      <c r="A72" s="1" t="s">
        <v>57</v>
      </c>
      <c r="B72" s="1">
        <v>0</v>
      </c>
      <c r="C72" s="1">
        <v>0</v>
      </c>
      <c r="D72" s="1">
        <v>2307</v>
      </c>
      <c r="E72" s="1">
        <v>2161</v>
      </c>
      <c r="F72" s="1">
        <v>11461</v>
      </c>
      <c r="G72" s="1">
        <v>10993</v>
      </c>
      <c r="H72" s="1">
        <v>6232</v>
      </c>
      <c r="I72" s="1">
        <v>6846</v>
      </c>
      <c r="J72" s="1">
        <v>0</v>
      </c>
      <c r="K72" s="1">
        <v>23947</v>
      </c>
      <c r="L72" s="1">
        <v>13078</v>
      </c>
      <c r="M72" s="1">
        <v>18307</v>
      </c>
      <c r="N72" s="6">
        <v>0.368062591466846</v>
      </c>
      <c r="O72" s="6">
        <v>0.51522571203422196</v>
      </c>
      <c r="P72" s="6">
        <v>0.11169999999999999</v>
      </c>
      <c r="Q72" s="1">
        <v>0</v>
      </c>
      <c r="R72" s="1">
        <v>9.4635611994614197E-9</v>
      </c>
      <c r="S72" s="1" t="b">
        <v>0</v>
      </c>
      <c r="T72" s="1" t="b">
        <v>0</v>
      </c>
      <c r="V72" s="1">
        <f t="shared" si="6"/>
        <v>40000</v>
      </c>
    </row>
    <row r="73" spans="1:24" hidden="1" outlineLevel="1" x14ac:dyDescent="0.25">
      <c r="A73" s="1" t="s">
        <v>74</v>
      </c>
      <c r="B73">
        <v>0</v>
      </c>
      <c r="C73">
        <v>0</v>
      </c>
      <c r="D73">
        <v>3531</v>
      </c>
      <c r="E73">
        <v>3557</v>
      </c>
      <c r="F73">
        <v>24426</v>
      </c>
      <c r="G73">
        <v>22083</v>
      </c>
      <c r="H73">
        <v>22043</v>
      </c>
      <c r="I73">
        <v>24360</v>
      </c>
      <c r="J73">
        <v>0</v>
      </c>
      <c r="K73">
        <v>24231</v>
      </c>
      <c r="L73">
        <v>46403</v>
      </c>
      <c r="M73">
        <v>48786</v>
      </c>
      <c r="N73" s="15">
        <v>0.49942956776304398</v>
      </c>
      <c r="O73" s="15">
        <v>0.52507749268124604</v>
      </c>
      <c r="P73" s="15">
        <v>7.0879999999999999E-2</v>
      </c>
      <c r="Q73">
        <v>0.72802624552885997</v>
      </c>
      <c r="R73">
        <v>9.1963093237986401E-53</v>
      </c>
      <c r="S73" t="b">
        <v>1</v>
      </c>
      <c r="T73" t="b">
        <v>0</v>
      </c>
      <c r="V73" s="1">
        <f t="shared" si="6"/>
        <v>100000</v>
      </c>
      <c r="X73" s="1" t="s">
        <v>81</v>
      </c>
    </row>
    <row r="74" spans="1:24" hidden="1" outlineLevel="1" x14ac:dyDescent="0.25"/>
    <row r="75" spans="1:24" hidden="1" outlineLevel="1" x14ac:dyDescent="0.25"/>
  </sheetData>
  <mergeCells count="1">
    <mergeCell ref="X29:AC29"/>
  </mergeCells>
  <conditionalFormatting sqref="B3:C3">
    <cfRule type="cellIs" dxfId="27" priority="112" operator="greaterThan">
      <formula>1000</formula>
    </cfRule>
    <cfRule type="cellIs" dxfId="26" priority="113" operator="greaterThan">
      <formula>5000</formula>
    </cfRule>
  </conditionalFormatting>
  <conditionalFormatting sqref="B5:C10 B12:C22 B24:C24 B29:C50 B52:C52">
    <cfRule type="cellIs" dxfId="25" priority="103" operator="greaterThan">
      <formula>5000</formula>
    </cfRule>
  </conditionalFormatting>
  <conditionalFormatting sqref="B5:C63">
    <cfRule type="cellIs" dxfId="24" priority="9" operator="greaterThan">
      <formula>1000</formula>
    </cfRule>
  </conditionalFormatting>
  <conditionalFormatting sqref="B54:C54">
    <cfRule type="cellIs" dxfId="23" priority="131" operator="greaterThan">
      <formula>5000</formula>
    </cfRule>
  </conditionalFormatting>
  <conditionalFormatting sqref="B65:C70">
    <cfRule type="cellIs" dxfId="22" priority="58" operator="greaterThan">
      <formula>1000</formula>
    </cfRule>
  </conditionalFormatting>
  <conditionalFormatting sqref="B66:C70">
    <cfRule type="cellIs" dxfId="21" priority="59" operator="greaterThan">
      <formula>5000</formula>
    </cfRule>
  </conditionalFormatting>
  <conditionalFormatting sqref="L3 L29:L50 L52">
    <cfRule type="cellIs" dxfId="20" priority="114" operator="lessThan">
      <formula>8000</formula>
    </cfRule>
  </conditionalFormatting>
  <conditionalFormatting sqref="L5:L10 L12:L22 L24 L54">
    <cfRule type="cellIs" dxfId="19" priority="142" operator="lessThan">
      <formula>8000</formula>
    </cfRule>
  </conditionalFormatting>
  <conditionalFormatting sqref="L66:L73">
    <cfRule type="cellIs" dxfId="18" priority="20" operator="lessThan">
      <formula>8000</formula>
    </cfRule>
  </conditionalFormatting>
  <conditionalFormatting sqref="N3:O3">
    <cfRule type="cellIs" dxfId="17" priority="108" stopIfTrue="1" operator="lessThan">
      <formula>0.4</formula>
    </cfRule>
    <cfRule type="cellIs" dxfId="16" priority="109" stopIfTrue="1" operator="greaterThan">
      <formula>0.6</formula>
    </cfRule>
    <cfRule type="cellIs" dxfId="15" priority="110" stopIfTrue="1" operator="lessThan">
      <formula>0.48</formula>
    </cfRule>
    <cfRule type="cellIs" dxfId="14" priority="111" operator="greaterThan">
      <formula>0.52</formula>
    </cfRule>
  </conditionalFormatting>
  <conditionalFormatting sqref="N5:O73">
    <cfRule type="cellIs" dxfId="13" priority="5" stopIfTrue="1" operator="lessThan">
      <formula>0.4</formula>
    </cfRule>
    <cfRule type="cellIs" dxfId="12" priority="6" stopIfTrue="1" operator="greaterThan">
      <formula>0.6</formula>
    </cfRule>
    <cfRule type="cellIs" dxfId="11" priority="7" stopIfTrue="1" operator="lessThan">
      <formula>0.48</formula>
    </cfRule>
    <cfRule type="cellIs" dxfId="10" priority="8" operator="greaterThan">
      <formula>0.52</formula>
    </cfRule>
  </conditionalFormatting>
  <conditionalFormatting sqref="P3">
    <cfRule type="cellIs" dxfId="9" priority="105" operator="greaterThan">
      <formula>0.4</formula>
    </cfRule>
    <cfRule type="cellIs" dxfId="8" priority="106" stopIfTrue="1" operator="greaterThan">
      <formula>0.1</formula>
    </cfRule>
    <cfRule type="cellIs" dxfId="7" priority="107" operator="greaterThan">
      <formula>0.05</formula>
    </cfRule>
  </conditionalFormatting>
  <conditionalFormatting sqref="P5:P73">
    <cfRule type="cellIs" dxfId="6" priority="2" operator="greaterThan">
      <formula>0.4</formula>
    </cfRule>
    <cfRule type="cellIs" dxfId="5" priority="3" stopIfTrue="1" operator="greaterThan">
      <formula>0.1</formula>
    </cfRule>
    <cfRule type="cellIs" dxfId="4" priority="4" operator="greaterThan">
      <formula>0.05</formula>
    </cfRule>
  </conditionalFormatting>
  <conditionalFormatting sqref="Q73:R73">
    <cfRule type="cellIs" dxfId="3" priority="10" operator="between">
      <formula>0.05</formula>
      <formula>0.15</formula>
    </cfRule>
    <cfRule type="cellIs" dxfId="2" priority="11" operator="between">
      <formula>0.001</formula>
      <formula>0.05</formula>
    </cfRule>
  </conditionalFormatting>
  <conditionalFormatting sqref="S3:T3">
    <cfRule type="cellIs" dxfId="1" priority="104" operator="equal">
      <formula>FALSE</formula>
    </cfRule>
  </conditionalFormatting>
  <conditionalFormatting sqref="S5:T73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 Davies</cp:lastModifiedBy>
  <dcterms:created xsi:type="dcterms:W3CDTF">2025-12-25T15:48:23Z</dcterms:created>
  <dcterms:modified xsi:type="dcterms:W3CDTF">2025-12-31T19:53:38Z</dcterms:modified>
</cp:coreProperties>
</file>